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4.xml.rels" ContentType="application/vnd.openxmlformats-package.relationship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說明" sheetId="1" state="visible" r:id="rId3"/>
    <sheet name="參數與用量計算" sheetId="2" state="visible" r:id="rId4"/>
    <sheet name="階段工作清單" sheetId="3" state="visible" r:id="rId5"/>
    <sheet name="週曆排程" sheetId="4" state="visible" r:id="rId6"/>
    <sheet name="例行作業檢查表" sheetId="5" state="visible" r:id="rId7"/>
    <sheet name="管理數值標準" sheetId="6" state="visible" r:id="rId8"/>
    <sheet name="病蟲害監測防治" sheetId="7" state="visible" r:id="rId9"/>
    <sheet name="紀錄_田間作業" sheetId="8" state="visible" r:id="rId10"/>
    <sheet name="紀錄_施肥灌溉" sheetId="9" state="visible" r:id="rId11"/>
    <sheet name="紀錄_病蟲害防治" sheetId="10" state="visible" r:id="rId12"/>
    <sheet name="紀錄_溫濕度" sheetId="11" state="visible" r:id="rId13"/>
    <sheet name="紀錄_生長量測" sheetId="12" state="visible" r:id="rId14"/>
    <sheet name="紀錄_採收出貨" sheetId="13" state="visible" r:id="rId15"/>
    <sheet name="資料來源" sheetId="14" state="visible" r:id="rId16"/>
  </sheets>
  <definedNames>
    <definedName function="false" hidden="false" localSheetId="4" name="_xlnm.Print_Titles" vbProcedure="false">例行作業檢查表!$3:$3</definedName>
    <definedName function="false" hidden="false" localSheetId="6" name="_xlnm.Print_Titles" vbProcedure="false">病蟲害監測防治!$3:$3</definedName>
    <definedName function="false" hidden="false" localSheetId="5" name="_xlnm.Print_Titles" vbProcedure="false">管理數值標準!$3:$3</definedName>
    <definedName function="false" hidden="true" localSheetId="5" name="_xlnm._FilterDatabase" vbProcedure="false">管理數值標準!$A$3:$F$40</definedName>
    <definedName function="false" hidden="false" localSheetId="12" name="_xlnm.Print_Titles" vbProcedure="false">紀錄_採收出貨!$3:$3</definedName>
    <definedName function="false" hidden="false" localSheetId="8" name="_xlnm.Print_Titles" vbProcedure="false">紀錄_施肥灌溉!$3:$3</definedName>
    <definedName function="false" hidden="false" localSheetId="10" name="_xlnm.Print_Titles" vbProcedure="false">紀錄_溫濕度!$3:$3</definedName>
    <definedName function="false" hidden="false" localSheetId="11" name="_xlnm.Print_Titles" vbProcedure="false">紀錄_生長量測!$3:$3</definedName>
    <definedName function="false" hidden="false" localSheetId="7" name="_xlnm.Print_Titles" vbProcedure="false">紀錄_田間作業!$3:$3</definedName>
    <definedName function="false" hidden="false" localSheetId="9" name="_xlnm.Print_Titles" vbProcedure="false">紀錄_病蟲害防治!$3:$3</definedName>
    <definedName function="false" hidden="false" localSheetId="3" name="_xlnm.Print_Titles" vbProcedure="false">週曆排程!$3:$3</definedName>
    <definedName function="false" hidden="false" localSheetId="2" name="_xlnm.Print_Titles" vbProcedure="false">階段工作清單!$3:$3</definedName>
    <definedName function="false" hidden="true" localSheetId="2" name="_xlnm._FilterDatabase" vbProcedure="false">階段工作清單!$A$3:$N$39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<sst xmlns="http://schemas.openxmlformats.org/spreadsheetml/2006/main" count="1156" uniqueCount="769">
  <si>
    <t xml:space="preserve">溫室土耕小番茄 種植工作計畫與排程表</t>
  </si>
  <si>
    <r>
      <rPr>
        <sz val="10"/>
        <color rgb="FF595959"/>
        <rFont val="Noto Sans CJK SC"/>
        <family val="2"/>
      </rPr>
      <t xml:space="preserve">給農場管理者派工、排程、檢查與紀錄使用｜資料彙整日期</t>
    </r>
    <r>
      <rPr>
        <sz val="10"/>
        <color rgb="FF595959"/>
        <rFont val="Microsoft JhengHei"/>
        <family val="0"/>
        <charset val="1"/>
      </rPr>
      <t xml:space="preserve">:2026-09</t>
    </r>
  </si>
  <si>
    <t xml:space="preserve">適用範圍</t>
  </si>
  <si>
    <r>
      <rPr>
        <sz val="10"/>
        <color rgb="FF000000"/>
        <rFont val="Noto Sans CJK SC"/>
        <family val="2"/>
      </rPr>
      <t xml:space="preserve">溫室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網室</t>
    </r>
    <r>
      <rPr>
        <sz val="10"/>
        <color rgb="FF000000"/>
        <rFont val="Microsoft JhengHei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內土耕、滴灌、雙幹整枝之小果番茄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如玉女等不停心型品種</t>
    </r>
    <r>
      <rPr>
        <sz val="10"/>
        <color rgb="FF000000"/>
        <rFont val="Microsoft JhengHei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。預設作期為平地秋冬作</t>
    </r>
    <r>
      <rPr>
        <sz val="10"/>
        <color rgb="FF000000"/>
        <rFont val="Microsoft JhengHei"/>
        <family val="0"/>
        <charset val="1"/>
      </rPr>
      <t xml:space="preserve">:9–11</t>
    </r>
    <r>
      <rPr>
        <sz val="10"/>
        <color rgb="FF000000"/>
        <rFont val="Noto Sans CJK SC"/>
        <family val="2"/>
      </rPr>
      <t xml:space="preserve">月定植、隔年</t>
    </r>
    <r>
      <rPr>
        <sz val="10"/>
        <color rgb="FF000000"/>
        <rFont val="Microsoft JhengHei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月為產期高峰</t>
    </r>
    <r>
      <rPr>
        <sz val="10"/>
        <color rgb="FF000000"/>
        <rFont val="Microsoft JhengHei"/>
        <family val="0"/>
        <charset val="1"/>
      </rPr>
      <t xml:space="preserve">(S4)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</si>
  <si>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color rgb="FF000000"/>
        <rFont val="Noto Sans CJK SC"/>
        <family val="2"/>
      </rPr>
      <t xml:space="preserve">使用步驟 </t>
    </r>
    <r>
      <rPr>
        <b val="true"/>
        <sz val="10"/>
        <color rgb="FF000000"/>
        <rFont val="Microsoft JhengHei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</si>
  <si>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到「參數與用量計算」只改黃底藍字的格子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定植日期、面積、畦距、株距、作期週數、施肥目標等。其他格子為公式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會自動算出株數、訂苗數、最晚訂苗日、基肥與每次追肥量、黏紙與熊蜂箱數。</t>
    </r>
  </si>
  <si>
    <r>
      <rPr>
        <b val="true"/>
        <sz val="10"/>
        <color rgb="FF000000"/>
        <rFont val="Noto Sans CJK SC"/>
        <family val="2"/>
      </rPr>
      <t xml:space="preserve">使用步驟 </t>
    </r>
    <r>
      <rPr>
        <b val="true"/>
        <sz val="10"/>
        <color rgb="FF000000"/>
        <rFont val="Microsoft JhengHei"/>
        <family val="0"/>
        <charset val="1"/>
      </rPr>
      <t xml:space="preserve">2</t>
    </r>
  </si>
  <si>
    <r>
      <rPr>
        <sz val="10"/>
        <color rgb="FF000000"/>
        <rFont val="Noto Sans CJK SC"/>
        <family val="2"/>
      </rPr>
      <t xml:space="preserve">「階段工作清單」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依定植日自動換算每項工作的預定日期。可在「負責人</t>
    </r>
    <r>
      <rPr>
        <sz val="10"/>
        <color rgb="FF000000"/>
        <rFont val="Microsoft JhengHe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狀態</t>
    </r>
    <r>
      <rPr>
        <sz val="10"/>
        <color rgb="FF000000"/>
        <rFont val="Microsoft JhengHe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完成日期」欄派工與追蹤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狀態有下拉選單</t>
    </r>
    <r>
      <rPr>
        <sz val="10"/>
        <color rgb="FF000000"/>
        <rFont val="Microsoft JhengHei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</si>
  <si>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color rgb="FF000000"/>
        <rFont val="Noto Sans CJK SC"/>
        <family val="2"/>
      </rPr>
      <t xml:space="preserve">使用步驟 </t>
    </r>
    <r>
      <rPr>
        <b val="true"/>
        <sz val="10"/>
        <color rgb="FF000000"/>
        <rFont val="Microsoft JhengHei"/>
        <family val="0"/>
        <charset val="1"/>
      </rPr>
      <t xml:space="preserve">3</t>
    </r>
  </si>
  <si>
    <r>
      <rPr>
        <sz val="10"/>
        <color rgb="FF000000"/>
        <rFont val="Noto Sans CJK SC"/>
        <family val="2"/>
      </rPr>
      <t xml:space="preserve">「週曆排程」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從定植前</t>
    </r>
    <r>
      <rPr>
        <sz val="10"/>
        <color rgb="FF000000"/>
        <rFont val="Microsoft JhengHei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週到作期結束後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每週要做哪些工作一目了然</t>
    </r>
    <r>
      <rPr>
        <sz val="10"/>
        <color rgb="FF000000"/>
        <rFont val="Microsoft JhengHei"/>
        <family val="0"/>
        <charset val="1"/>
      </rPr>
      <t xml:space="preserve">(●=</t>
    </r>
    <r>
      <rPr>
        <sz val="10"/>
        <color rgb="FF000000"/>
        <rFont val="Noto Sans CJK SC"/>
        <family val="2"/>
      </rPr>
      <t xml:space="preserve">本週執行</t>
    </r>
    <r>
      <rPr>
        <sz val="10"/>
        <color rgb="FF000000"/>
        <rFont val="Microsoft JhengHei"/>
        <family val="0"/>
        <charset val="1"/>
      </rPr>
      <t xml:space="preserve">,★=</t>
    </r>
    <r>
      <rPr>
        <sz val="10"/>
        <color rgb="FF000000"/>
        <rFont val="Noto Sans CJK SC"/>
        <family val="2"/>
      </rPr>
      <t xml:space="preserve">關鍵節點</t>
    </r>
    <r>
      <rPr>
        <sz val="10"/>
        <color rgb="FF000000"/>
        <rFont val="Microsoft JhengHei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。可直接列印貼在工作站。</t>
    </r>
  </si>
  <si>
    <r>
      <rPr>
        <b val="true"/>
        <sz val="10"/>
        <color rgb="FF000000"/>
        <rFont val="Noto Sans CJK SC"/>
        <family val="2"/>
      </rPr>
      <t xml:space="preserve">使用步驟 </t>
    </r>
    <r>
      <rPr>
        <b val="true"/>
        <sz val="10"/>
        <color rgb="FF000000"/>
        <rFont val="Microsoft JhengHei"/>
        <family val="0"/>
        <charset val="1"/>
      </rPr>
      <t xml:space="preserve">4</t>
    </r>
  </si>
  <si>
    <r>
      <rPr>
        <sz val="10"/>
        <color rgb="FF000000"/>
        <rFont val="Noto Sans CJK SC"/>
        <family val="2"/>
      </rPr>
      <t xml:space="preserve">「例行作業檢查表」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每日</t>
    </r>
    <r>
      <rPr>
        <sz val="10"/>
        <color rgb="FF000000"/>
        <rFont val="Microsoft JhengHe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每</t>
    </r>
    <r>
      <rPr>
        <sz val="10"/>
        <color rgb="FF000000"/>
        <rFont val="Microsoft JhengHei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天</t>
    </r>
    <r>
      <rPr>
        <sz val="10"/>
        <color rgb="FF000000"/>
        <rFont val="Microsoft JhengHe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每週</t>
    </r>
    <r>
      <rPr>
        <sz val="10"/>
        <color rgb="FF000000"/>
        <rFont val="Microsoft JhengHe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每</t>
    </r>
    <r>
      <rPr>
        <sz val="10"/>
        <color rgb="FF000000"/>
        <rFont val="Microsoft JhengHei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週</t>
    </r>
    <r>
      <rPr>
        <sz val="10"/>
        <color rgb="FF000000"/>
        <rFont val="Microsoft JhengHe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每月</t>
    </r>
    <r>
      <rPr>
        <sz val="10"/>
        <color rgb="FF000000"/>
        <rFont val="Microsoft JhengHe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每期作的固定工作與執行標準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每週列印一張簽核。</t>
    </r>
  </si>
  <si>
    <r>
      <rPr>
        <b val="true"/>
        <sz val="10"/>
        <color rgb="FF000000"/>
        <rFont val="Noto Sans CJK SC"/>
        <family val="2"/>
      </rPr>
      <t xml:space="preserve">使用步驟 </t>
    </r>
    <r>
      <rPr>
        <b val="true"/>
        <sz val="10"/>
        <color rgb="FF000000"/>
        <rFont val="Microsoft JhengHei"/>
        <family val="0"/>
        <charset val="1"/>
      </rPr>
      <t xml:space="preserve">5</t>
    </r>
  </si>
  <si>
    <r>
      <rPr>
        <sz val="10"/>
        <color rgb="FF000000"/>
        <rFont val="Noto Sans CJK SC"/>
        <family val="2"/>
      </rPr>
      <t xml:space="preserve">「管理數值標準」「病蟲害監測防治」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溫濕度、土壤、肥料、灌溉、整枝、授粉、採收貯藏的數值標準與病蟲害判斷做法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每條都標註來源代碼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對照「資料來源」頁</t>
    </r>
    <r>
      <rPr>
        <sz val="10"/>
        <color rgb="FF000000"/>
        <rFont val="Microsoft JhengHei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</si>
  <si>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color rgb="FF000000"/>
        <rFont val="Noto Sans CJK SC"/>
        <family val="2"/>
      </rPr>
      <t xml:space="preserve">使用步驟 </t>
    </r>
    <r>
      <rPr>
        <b val="true"/>
        <sz val="10"/>
        <color rgb="FF000000"/>
        <rFont val="Microsoft JhengHei"/>
        <family val="0"/>
        <charset val="1"/>
      </rPr>
      <t xml:space="preserve">6</t>
    </r>
  </si>
  <si>
    <r>
      <rPr>
        <sz val="10"/>
        <color rgb="FF000000"/>
        <rFont val="Noto Sans CJK SC"/>
        <family val="2"/>
      </rPr>
      <t xml:space="preserve">「紀錄</t>
    </r>
    <r>
      <rPr>
        <sz val="10"/>
        <color rgb="FF000000"/>
        <rFont val="Microsoft JhengHei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」開頭的</t>
    </r>
    <r>
      <rPr>
        <sz val="10"/>
        <color rgb="FF000000"/>
        <rFont val="Microsoft JhengHei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張表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依</t>
    </r>
    <r>
      <rPr>
        <sz val="10"/>
        <color rgb="FF000000"/>
        <rFont val="Microsoft JhengHei"/>
        <family val="0"/>
        <charset val="1"/>
      </rPr>
      <t xml:space="preserve">TGAP</t>
    </r>
    <r>
      <rPr>
        <sz val="10"/>
        <color rgb="FF000000"/>
        <rFont val="Noto Sans CJK SC"/>
        <family val="2"/>
      </rPr>
      <t xml:space="preserve">產銷履歷需要的紀錄格式設計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田間作業、施肥灌溉、病蟲害防治、溫濕度、生長量測、採收出貨</t>
    </r>
    <r>
      <rPr>
        <sz val="10"/>
        <color rgb="FF000000"/>
        <rFont val="Microsoft JhengHei"/>
        <family val="0"/>
        <charset val="1"/>
      </rPr>
      <t xml:space="preserve">),</t>
    </r>
    <r>
      <rPr>
        <sz val="10"/>
        <color rgb="FF000000"/>
        <rFont val="Noto Sans CJK SC"/>
        <family val="2"/>
      </rPr>
      <t xml:space="preserve">第一列灰底為填寫範例。</t>
    </r>
  </si>
  <si>
    <t xml:space="preserve">格式說明</t>
  </si>
  <si>
    <r>
      <rPr>
        <sz val="10"/>
        <color rgb="FF000000"/>
        <rFont val="Noto Sans CJK SC"/>
        <family val="2"/>
      </rPr>
      <t xml:space="preserve">黃底藍字 </t>
    </r>
    <r>
      <rPr>
        <sz val="10"/>
        <color rgb="FF000000"/>
        <rFont val="Microsoft JhengHei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可自行修改的輸入值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黑字 </t>
    </r>
    <r>
      <rPr>
        <sz val="10"/>
        <color rgb="FF000000"/>
        <rFont val="Microsoft JhengHei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公式自動計算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灰底斜體 </t>
    </r>
    <r>
      <rPr>
        <sz val="10"/>
        <color rgb="FF000000"/>
        <rFont val="Microsoft JhengHei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範例列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可刪除或覆寫</t>
    </r>
    <r>
      <rPr>
        <sz val="10"/>
        <color rgb="FF000000"/>
        <rFont val="Microsoft JhengHei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</si>
  <si>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color rgb="FF000000"/>
        <rFont val="Noto Sans CJK SC"/>
        <family val="2"/>
      </rPr>
      <t xml:space="preserve">重要提醒 </t>
    </r>
    <r>
      <rPr>
        <b val="true"/>
        <sz val="10"/>
        <color rgb="FF000000"/>
        <rFont val="Microsoft JhengHei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</si>
  <si>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國外數據多來自介質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岩棉</t>
    </r>
    <r>
      <rPr>
        <sz val="10"/>
        <color rgb="FF000000"/>
        <rFont val="Microsoft JhengHe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椰纖</t>
    </r>
    <r>
      <rPr>
        <sz val="10"/>
        <color rgb="FF000000"/>
        <rFont val="Microsoft JhengHei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高架栽培與大果品種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移用到國內土耕小番茄時請當作起始參考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依自家紀錄調整。表中已標註「國內</t>
    </r>
    <r>
      <rPr>
        <sz val="10"/>
        <color rgb="FF000000"/>
        <rFont val="Microsoft JhengHe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國外」。</t>
    </r>
  </si>
  <si>
    <r>
      <rPr>
        <b val="true"/>
        <sz val="10"/>
        <color rgb="FF000000"/>
        <rFont val="Noto Sans CJK SC"/>
        <family val="2"/>
      </rPr>
      <t xml:space="preserve">重要提醒 </t>
    </r>
    <r>
      <rPr>
        <b val="true"/>
        <sz val="10"/>
        <color rgb="FF000000"/>
        <rFont val="Microsoft JhengHei"/>
        <family val="0"/>
        <charset val="1"/>
      </rPr>
      <t xml:space="preserve">2</t>
    </r>
  </si>
  <si>
    <r>
      <rPr>
        <sz val="10"/>
        <color rgb="FF000000"/>
        <rFont val="Noto Sans CJK SC"/>
        <family val="2"/>
      </rPr>
      <t xml:space="preserve">「預估首採週」為估計值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預設定植後第</t>
    </r>
    <r>
      <rPr>
        <sz val="10"/>
        <color rgb="FF000000"/>
        <rFont val="Microsoft JhengHei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週</t>
    </r>
    <r>
      <rPr>
        <sz val="10"/>
        <color rgb="FF000000"/>
        <rFont val="Microsoft JhengHei"/>
        <family val="0"/>
        <charset val="1"/>
      </rPr>
      <t xml:space="preserve">),</t>
    </r>
    <r>
      <rPr>
        <sz val="10"/>
        <color rgb="FF000000"/>
        <rFont val="Noto Sans CJK SC"/>
        <family val="2"/>
      </rPr>
      <t xml:space="preserve">實際受品種、定植期與溫度影響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請於第一穗果轉色時修正參數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排程會自動更新。</t>
    </r>
  </si>
  <si>
    <r>
      <rPr>
        <b val="true"/>
        <sz val="10"/>
        <color rgb="FF000000"/>
        <rFont val="Noto Sans CJK SC"/>
        <family val="2"/>
      </rPr>
      <t xml:space="preserve">重要提醒 </t>
    </r>
    <r>
      <rPr>
        <b val="true"/>
        <sz val="10"/>
        <color rgb="FF000000"/>
        <rFont val="Microsoft JhengHei"/>
        <family val="0"/>
        <charset val="1"/>
      </rPr>
      <t xml:space="preserve">3</t>
    </r>
  </si>
  <si>
    <r>
      <rPr>
        <sz val="10"/>
        <color rgb="FF000000"/>
        <rFont val="Noto Sans CJK SC"/>
        <family val="2"/>
      </rPr>
      <t xml:space="preserve">農藥登記內容會變動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本表不列固定藥劑倍數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用藥前一律至「農藥資訊服務網」</t>
    </r>
    <r>
      <rPr>
        <sz val="10"/>
        <color rgb="FF000000"/>
        <rFont val="Microsoft JhengHei"/>
        <family val="0"/>
        <charset val="1"/>
      </rPr>
      <t xml:space="preserve">(S22)</t>
    </r>
    <r>
      <rPr>
        <sz val="10"/>
        <color rgb="FF000000"/>
        <rFont val="Noto Sans CJK SC"/>
        <family val="2"/>
      </rPr>
      <t xml:space="preserve">查詢番茄現行登記藥劑、稀釋倍數與安全採收期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並記錄於「紀錄</t>
    </r>
    <r>
      <rPr>
        <sz val="10"/>
        <color rgb="FF000000"/>
        <rFont val="Microsoft JhengHei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病蟲害防治」。</t>
    </r>
  </si>
  <si>
    <r>
      <rPr>
        <b val="true"/>
        <sz val="10"/>
        <color rgb="FF000000"/>
        <rFont val="Noto Sans CJK SC"/>
        <family val="2"/>
      </rPr>
      <t xml:space="preserve">重要提醒 </t>
    </r>
    <r>
      <rPr>
        <b val="true"/>
        <sz val="10"/>
        <color rgb="FF000000"/>
        <rFont val="Microsoft JhengHei"/>
        <family val="0"/>
        <charset val="1"/>
      </rPr>
      <t xml:space="preserve">4</t>
    </r>
  </si>
  <si>
    <r>
      <rPr>
        <sz val="10"/>
        <color rgb="FF000000"/>
        <rFont val="Noto Sans CJK SC"/>
        <family val="2"/>
      </rPr>
      <t xml:space="preserve">施肥量以</t>
    </r>
    <r>
      <rPr>
        <sz val="10"/>
        <color rgb="FF000000"/>
        <rFont val="Microsoft JhengHei"/>
        <family val="0"/>
        <charset val="1"/>
      </rPr>
      <t xml:space="preserve">TGAP</t>
    </r>
    <r>
      <rPr>
        <sz val="10"/>
        <color rgb="FF000000"/>
        <rFont val="Noto Sans CJK SC"/>
        <family val="2"/>
      </rPr>
      <t xml:space="preserve">番茄建議三要素總量換算</t>
    </r>
    <r>
      <rPr>
        <sz val="10"/>
        <color rgb="FF000000"/>
        <rFont val="Microsoft JhengHei"/>
        <family val="0"/>
        <charset val="1"/>
      </rPr>
      <t xml:space="preserve">(S2),</t>
    </r>
    <r>
      <rPr>
        <sz val="10"/>
        <color rgb="FF000000"/>
        <rFont val="Noto Sans CJK SC"/>
        <family val="2"/>
      </rPr>
      <t xml:space="preserve">未扣除堆肥所含養分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若土壤檢測磷鉀偏高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請依改良場土壤診斷建議減量。</t>
    </r>
  </si>
  <si>
    <t xml:space="preserve">輸入格範例</t>
  </si>
  <si>
    <t xml:space="preserve">2026/10/15</t>
  </si>
  <si>
    <t xml:space="preserve">公式格範例</t>
  </si>
  <si>
    <t xml:space="preserve">參數與用量計算</t>
  </si>
  <si>
    <r>
      <rPr>
        <sz val="10"/>
        <color rgb="FF595959"/>
        <rFont val="Noto Sans CJK SC"/>
        <family val="2"/>
      </rPr>
      <t xml:space="preserve">只修改黃底藍字格</t>
    </r>
    <r>
      <rPr>
        <sz val="10"/>
        <color rgb="FF595959"/>
        <rFont val="Microsoft JhengHei"/>
        <family val="0"/>
        <charset val="1"/>
      </rPr>
      <t xml:space="preserve">;</t>
    </r>
    <r>
      <rPr>
        <sz val="10"/>
        <color rgb="FF595959"/>
        <rFont val="Noto Sans CJK SC"/>
        <family val="2"/>
      </rPr>
      <t xml:space="preserve">其餘自動計算</t>
    </r>
  </si>
  <si>
    <t xml:space="preserve">項目</t>
  </si>
  <si>
    <t xml:space="preserve">數值</t>
  </si>
  <si>
    <t xml:space="preserve">單位</t>
  </si>
  <si>
    <r>
      <rPr>
        <b val="true"/>
        <sz val="10"/>
        <color rgb="FFFFFFFF"/>
        <rFont val="Noto Sans CJK SC"/>
        <family val="2"/>
      </rPr>
      <t xml:space="preserve">說明 </t>
    </r>
    <r>
      <rPr>
        <b val="true"/>
        <sz val="10"/>
        <color rgb="FFFFFFFF"/>
        <rFont val="Microsoft JhengHei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來源</t>
    </r>
  </si>
  <si>
    <t xml:space="preserve">定植日期</t>
  </si>
  <si>
    <t xml:space="preserve">日期</t>
  </si>
  <si>
    <r>
      <rPr>
        <sz val="10"/>
        <color rgb="FF000000"/>
        <rFont val="Noto Sans CJK SC"/>
        <family val="2"/>
      </rPr>
      <t xml:space="preserve">暫定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平地秋冬作多於</t>
    </r>
    <r>
      <rPr>
        <sz val="10"/>
        <color rgb="FF000000"/>
        <rFont val="Microsoft JhengHei"/>
        <family val="0"/>
        <charset val="1"/>
      </rPr>
      <t xml:space="preserve">9–11</t>
    </r>
    <r>
      <rPr>
        <sz val="10"/>
        <color rgb="FF000000"/>
        <rFont val="Noto Sans CJK SC"/>
        <family val="2"/>
      </rPr>
      <t xml:space="preserve">月定植</t>
    </r>
    <r>
      <rPr>
        <sz val="10"/>
        <color rgb="FF000000"/>
        <rFont val="Microsoft JhengHei"/>
        <family val="0"/>
        <charset val="1"/>
      </rPr>
      <t xml:space="preserve">(S4)</t>
    </r>
  </si>
  <si>
    <t xml:space="preserve">種植區面積</t>
  </si>
  <si>
    <t xml:space="preserve">m²</t>
  </si>
  <si>
    <r>
      <rPr>
        <sz val="10"/>
        <color rgb="FF000000"/>
        <rFont val="Microsoft JhengHe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分地≈</t>
    </r>
    <r>
      <rPr>
        <sz val="10"/>
        <color rgb="FF000000"/>
        <rFont val="Microsoft JhengHei"/>
        <family val="0"/>
        <charset val="1"/>
      </rPr>
      <t xml:space="preserve">970 m²;</t>
    </r>
    <r>
      <rPr>
        <sz val="10"/>
        <color rgb="FF000000"/>
        <rFont val="Noto Sans CJK SC"/>
        <family val="2"/>
      </rPr>
      <t xml:space="preserve">此處填實際作畦區面積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含畦溝</t>
    </r>
    <r>
      <rPr>
        <sz val="10"/>
        <color rgb="FF000000"/>
        <rFont val="Microsoft JhengHei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</si>
  <si>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畦距</t>
    </r>
    <r>
      <rPr>
        <b val="true"/>
        <sz val="10"/>
        <color rgb="FF000000"/>
        <rFont val="Microsoft JhengHei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畦中心到中心</t>
    </r>
    <r>
      <rPr>
        <b val="true"/>
        <sz val="10"/>
        <color rgb="FF000000"/>
        <rFont val="Microsoft JhengHei"/>
        <family val="0"/>
        <charset val="1"/>
      </rPr>
      <t xml:space="preserve">)</t>
    </r>
  </si>
  <si>
    <t xml:space="preserve">m</t>
  </si>
  <si>
    <r>
      <rPr>
        <sz val="10"/>
        <color rgb="FF000000"/>
        <rFont val="Noto Sans CJK SC"/>
        <family val="2"/>
      </rPr>
      <t xml:space="preserve">春秋作行距</t>
    </r>
    <r>
      <rPr>
        <sz val="10"/>
        <color rgb="FF000000"/>
        <rFont val="Microsoft JhengHei"/>
        <family val="0"/>
        <charset val="1"/>
      </rPr>
      <t xml:space="preserve">75–150 cm(S1)</t>
    </r>
  </si>
  <si>
    <t xml:space="preserve">每畦種植行數</t>
  </si>
  <si>
    <t xml:space="preserve">行</t>
  </si>
  <si>
    <t xml:space="preserve">單行植或雙行植</t>
  </si>
  <si>
    <t xml:space="preserve">株距</t>
  </si>
  <si>
    <r>
      <rPr>
        <sz val="10"/>
        <color rgb="FF000000"/>
        <rFont val="Noto Sans CJK SC"/>
        <family val="2"/>
      </rPr>
      <t xml:space="preserve">春秋作株距</t>
    </r>
    <r>
      <rPr>
        <sz val="10"/>
        <color rgb="FF000000"/>
        <rFont val="Microsoft JhengHei"/>
        <family val="0"/>
        <charset val="1"/>
      </rPr>
      <t xml:space="preserve">60 cm;</t>
    </r>
    <r>
      <rPr>
        <sz val="10"/>
        <color rgb="FF000000"/>
        <rFont val="Noto Sans CJK SC"/>
        <family val="2"/>
      </rPr>
      <t xml:space="preserve">夏作</t>
    </r>
    <r>
      <rPr>
        <sz val="10"/>
        <color rgb="FF000000"/>
        <rFont val="Microsoft JhengHei"/>
        <family val="0"/>
        <charset val="1"/>
      </rPr>
      <t xml:space="preserve">45 cm(S1)</t>
    </r>
  </si>
  <si>
    <t xml:space="preserve">整枝幹數</t>
  </si>
  <si>
    <r>
      <rPr>
        <sz val="10"/>
        <color rgb="FF000000"/>
        <rFont val="Noto Sans CJK SC"/>
        <family val="2"/>
      </rPr>
      <t xml:space="preserve">幹</t>
    </r>
    <r>
      <rPr>
        <sz val="10"/>
        <color rgb="FF000000"/>
        <rFont val="Microsoft JhengHe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株</t>
    </r>
  </si>
  <si>
    <r>
      <rPr>
        <sz val="10"/>
        <color rgb="FF000000"/>
        <rFont val="Noto Sans CJK SC"/>
        <family val="2"/>
      </rPr>
      <t xml:space="preserve">雙幹整枝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留第一花序下側枝</t>
    </r>
    <r>
      <rPr>
        <sz val="10"/>
        <color rgb="FF000000"/>
        <rFont val="Microsoft JhengHei"/>
        <family val="0"/>
        <charset val="1"/>
      </rPr>
      <t xml:space="preserve">(S1)</t>
    </r>
  </si>
  <si>
    <t xml:space="preserve">備苗比例</t>
  </si>
  <si>
    <t xml:space="preserve">%</t>
  </si>
  <si>
    <r>
      <rPr>
        <sz val="10"/>
        <color rgb="FF000000"/>
        <rFont val="Noto Sans CJK SC"/>
        <family val="2"/>
      </rPr>
      <t xml:space="preserve">假設值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供補植用</t>
    </r>
  </si>
  <si>
    <r>
      <rPr>
        <b val="true"/>
        <sz val="10"/>
        <color rgb="FF000000"/>
        <rFont val="Noto Sans CJK SC"/>
        <family val="2"/>
      </rPr>
      <t xml:space="preserve">育苗場育苗期</t>
    </r>
    <r>
      <rPr>
        <b val="true"/>
        <sz val="10"/>
        <color rgb="FF000000"/>
        <rFont val="Microsoft JhengHei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參考</t>
    </r>
    <r>
      <rPr>
        <b val="true"/>
        <sz val="10"/>
        <color rgb="FF000000"/>
        <rFont val="Microsoft JhengHei"/>
        <family val="0"/>
        <charset val="1"/>
      </rPr>
      <t xml:space="preserve">)</t>
    </r>
  </si>
  <si>
    <t xml:space="preserve">週</t>
  </si>
  <si>
    <r>
      <rPr>
        <sz val="10"/>
        <color rgb="FF000000"/>
        <rFont val="Noto Sans CJK SC"/>
        <family val="2"/>
      </rPr>
      <t xml:space="preserve">穴盤苗育苗約</t>
    </r>
    <r>
      <rPr>
        <sz val="10"/>
        <color rgb="FF000000"/>
        <rFont val="Microsoft JhengHei"/>
        <family val="0"/>
        <charset val="1"/>
      </rPr>
      <t xml:space="preserve">4–6</t>
    </r>
    <r>
      <rPr>
        <sz val="10"/>
        <color rgb="FF000000"/>
        <rFont val="Noto Sans CJK SC"/>
        <family val="2"/>
      </rPr>
      <t xml:space="preserve">週</t>
    </r>
    <r>
      <rPr>
        <sz val="10"/>
        <color rgb="FF000000"/>
        <rFont val="Microsoft JhengHei"/>
        <family val="0"/>
        <charset val="1"/>
      </rPr>
      <t xml:space="preserve">(S12);</t>
    </r>
    <r>
      <rPr>
        <sz val="10"/>
        <color rgb="FF000000"/>
        <rFont val="Noto Sans CJK SC"/>
        <family val="2"/>
      </rPr>
      <t xml:space="preserve">用來推估育苗場需播種的日期</t>
    </r>
  </si>
  <si>
    <t xml:space="preserve">穴盤規格</t>
  </si>
  <si>
    <r>
      <rPr>
        <sz val="10"/>
        <color rgb="FF000000"/>
        <rFont val="Noto Sans CJK SC"/>
        <family val="2"/>
      </rPr>
      <t xml:space="preserve">格</t>
    </r>
    <r>
      <rPr>
        <sz val="10"/>
        <color rgb="FF000000"/>
        <rFont val="Microsoft JhengHe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盤</t>
    </r>
  </si>
  <si>
    <r>
      <rPr>
        <sz val="10"/>
        <color rgb="FF000000"/>
        <rFont val="Noto Sans CJK SC"/>
        <family val="2"/>
      </rPr>
      <t xml:space="preserve">秋冬作</t>
    </r>
    <r>
      <rPr>
        <sz val="10"/>
        <color rgb="FF000000"/>
        <rFont val="Microsoft JhengHei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格、夏作</t>
    </r>
    <r>
      <rPr>
        <sz val="10"/>
        <color rgb="FF000000"/>
        <rFont val="Microsoft JhengHei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格</t>
    </r>
    <r>
      <rPr>
        <sz val="10"/>
        <color rgb="FF000000"/>
        <rFont val="Microsoft JhengHei"/>
        <family val="0"/>
        <charset val="1"/>
      </rPr>
      <t xml:space="preserve">(S1)</t>
    </r>
  </si>
  <si>
    <t xml:space="preserve">訂苗提前週數</t>
  </si>
  <si>
    <r>
      <rPr>
        <sz val="10"/>
        <color rgb="FF000000"/>
        <rFont val="Noto Sans CJK SC"/>
        <family val="2"/>
      </rPr>
      <t xml:space="preserve">育苗場要求至少定植前</t>
    </r>
    <r>
      <rPr>
        <sz val="10"/>
        <color rgb="FF000000"/>
        <rFont val="Microsoft JhengHei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週下訂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農場提供</t>
    </r>
    <r>
      <rPr>
        <sz val="10"/>
        <color rgb="FF000000"/>
        <rFont val="Microsoft JhengHei"/>
        <family val="0"/>
        <charset val="1"/>
      </rPr>
      <t xml:space="preserve">);</t>
    </r>
    <r>
      <rPr>
        <sz val="10"/>
        <color rgb="FF000000"/>
        <rFont val="Noto Sans CJK SC"/>
        <family val="2"/>
      </rPr>
      <t xml:space="preserve">不可小於</t>
    </r>
    <r>
      <rPr>
        <sz val="10"/>
        <color rgb="FF000000"/>
        <rFont val="Microsoft JhengHei"/>
        <family val="0"/>
        <charset val="1"/>
      </rPr>
      <t xml:space="preserve">2</t>
    </r>
  </si>
  <si>
    <t xml:space="preserve">預估首花週</t>
  </si>
  <si>
    <t xml:space="preserve">定植後第幾週</t>
  </si>
  <si>
    <r>
      <rPr>
        <sz val="10"/>
        <color rgb="FF000000"/>
        <rFont val="Noto Sans CJK SC"/>
        <family val="2"/>
      </rPr>
      <t xml:space="preserve">假設值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第一花序開花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開始授粉</t>
    </r>
  </si>
  <si>
    <t xml:space="preserve">追肥起始週</t>
  </si>
  <si>
    <r>
      <rPr>
        <sz val="10"/>
        <color rgb="FF000000"/>
        <rFont val="Noto Sans CJK SC"/>
        <family val="2"/>
      </rPr>
      <t xml:space="preserve">首次追肥於定植後</t>
    </r>
    <r>
      <rPr>
        <sz val="10"/>
        <color rgb="FF000000"/>
        <rFont val="Microsoft JhengHei"/>
        <family val="0"/>
        <charset val="1"/>
      </rPr>
      <t xml:space="preserve">20–30</t>
    </r>
    <r>
      <rPr>
        <sz val="10"/>
        <color rgb="FF000000"/>
        <rFont val="Noto Sans CJK SC"/>
        <family val="2"/>
      </rPr>
      <t xml:space="preserve">天</t>
    </r>
    <r>
      <rPr>
        <sz val="10"/>
        <color rgb="FF000000"/>
        <rFont val="Microsoft JhengHei"/>
        <family val="0"/>
        <charset val="1"/>
      </rPr>
      <t xml:space="preserve">(S1)</t>
    </r>
  </si>
  <si>
    <t xml:space="preserve">追肥間隔</t>
  </si>
  <si>
    <r>
      <rPr>
        <sz val="10"/>
        <color rgb="FF000000"/>
        <rFont val="Noto Sans CJK SC"/>
        <family val="2"/>
      </rPr>
      <t xml:space="preserve">每隔</t>
    </r>
    <r>
      <rPr>
        <sz val="10"/>
        <color rgb="FF000000"/>
        <rFont val="Microsoft JhengHei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週追肥</t>
    </r>
    <r>
      <rPr>
        <sz val="10"/>
        <color rgb="FF000000"/>
        <rFont val="Microsoft JhengHei"/>
        <family val="0"/>
        <charset val="1"/>
      </rPr>
      <t xml:space="preserve">(S1)</t>
    </r>
  </si>
  <si>
    <t xml:space="preserve">追肥次數</t>
  </si>
  <si>
    <t xml:space="preserve">次</t>
  </si>
  <si>
    <r>
      <rPr>
        <sz val="10"/>
        <color rgb="FF000000"/>
        <rFont val="Noto Sans CJK SC"/>
        <family val="2"/>
      </rPr>
      <t xml:space="preserve">使每次追肥佔總</t>
    </r>
    <r>
      <rPr>
        <sz val="10"/>
        <color rgb="FF000000"/>
        <rFont val="Microsoft JhengHei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約</t>
    </r>
    <r>
      <rPr>
        <sz val="10"/>
        <color rgb="FF000000"/>
        <rFont val="Microsoft JhengHei"/>
        <family val="0"/>
        <charset val="1"/>
      </rPr>
      <t xml:space="preserve">10–15%(S2)</t>
    </r>
  </si>
  <si>
    <t xml:space="preserve">預估首採週</t>
  </si>
  <si>
    <r>
      <rPr>
        <sz val="10"/>
        <color rgb="FF000000"/>
        <rFont val="Noto Sans CJK SC"/>
        <family val="2"/>
      </rPr>
      <t xml:space="preserve">估計值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第一穗果轉色時請修正</t>
    </r>
  </si>
  <si>
    <r>
      <rPr>
        <b val="true"/>
        <sz val="10"/>
        <color rgb="FF000000"/>
        <rFont val="Noto Sans CJK SC"/>
        <family val="2"/>
      </rPr>
      <t xml:space="preserve">作期結束週</t>
    </r>
    <r>
      <rPr>
        <b val="true"/>
        <sz val="10"/>
        <color rgb="FF000000"/>
        <rFont val="Microsoft JhengHei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末採</t>
    </r>
    <r>
      <rPr>
        <b val="true"/>
        <sz val="10"/>
        <color rgb="FF000000"/>
        <rFont val="Microsoft JhengHei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</si>
  <si>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秋冬作產期高峰至隔年</t>
    </r>
    <r>
      <rPr>
        <sz val="10"/>
        <color rgb="FF000000"/>
        <rFont val="Microsoft JhengHei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Microsoft JhengHei"/>
        <family val="0"/>
        <charset val="1"/>
      </rPr>
      <t xml:space="preserve">(S4)</t>
    </r>
  </si>
  <si>
    <r>
      <rPr>
        <b val="true"/>
        <sz val="10"/>
        <color rgb="FF000000"/>
        <rFont val="Noto Sans CJK SC"/>
        <family val="2"/>
      </rPr>
      <t xml:space="preserve">目標</t>
    </r>
    <r>
      <rPr>
        <b val="true"/>
        <sz val="10"/>
        <color rgb="FF000000"/>
        <rFont val="Microsoft JhengHei"/>
        <family val="0"/>
        <charset val="1"/>
      </rPr>
      <t xml:space="preserve">N</t>
    </r>
    <r>
      <rPr>
        <b val="true"/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</si>
  <si>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Microsoft JhengHei"/>
        <family val="0"/>
        <charset val="1"/>
      </rPr>
      <t xml:space="preserve">kg/</t>
    </r>
    <r>
      <rPr>
        <sz val="10"/>
        <color rgb="FF000000"/>
        <rFont val="Noto Sans CJK SC"/>
        <family val="2"/>
      </rPr>
      <t xml:space="preserve">公頃</t>
    </r>
  </si>
  <si>
    <r>
      <rPr>
        <sz val="10"/>
        <color rgb="FF000000"/>
        <rFont val="Microsoft JhengHei"/>
        <family val="0"/>
        <charset val="1"/>
      </rPr>
      <t xml:space="preserve">TGAP</t>
    </r>
    <r>
      <rPr>
        <sz val="10"/>
        <color rgb="FF000000"/>
        <rFont val="Noto Sans CJK SC"/>
        <family val="2"/>
      </rPr>
      <t xml:space="preserve">番茄</t>
    </r>
    <r>
      <rPr>
        <sz val="10"/>
        <color rgb="FF000000"/>
        <rFont val="Microsoft JhengHei"/>
        <family val="0"/>
        <charset val="1"/>
      </rPr>
      <t xml:space="preserve">:N 200–250(S2)</t>
    </r>
  </si>
  <si>
    <r>
      <rPr>
        <b val="true"/>
        <sz val="10"/>
        <color rgb="FF000000"/>
        <rFont val="Noto Sans CJK SC"/>
        <family val="2"/>
      </rPr>
      <t xml:space="preserve">目標</t>
    </r>
    <r>
      <rPr>
        <b val="true"/>
        <sz val="10"/>
        <color rgb="FF000000"/>
        <rFont val="Microsoft JhengHei"/>
        <family val="0"/>
        <charset val="1"/>
      </rPr>
      <t xml:space="preserve">P₂O₅</t>
    </r>
    <r>
      <rPr>
        <b val="true"/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</si>
  <si>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Microsoft JhengHei"/>
        <family val="0"/>
        <charset val="1"/>
      </rPr>
      <t xml:space="preserve">TGAP</t>
    </r>
    <r>
      <rPr>
        <sz val="10"/>
        <color rgb="FF000000"/>
        <rFont val="Noto Sans CJK SC"/>
        <family val="2"/>
      </rPr>
      <t xml:space="preserve">番茄</t>
    </r>
    <r>
      <rPr>
        <sz val="10"/>
        <color rgb="FF000000"/>
        <rFont val="Microsoft JhengHei"/>
        <family val="0"/>
        <charset val="1"/>
      </rPr>
      <t xml:space="preserve">:P₂O₅ 150–200(S2)</t>
    </r>
  </si>
  <si>
    <r>
      <rPr>
        <b val="true"/>
        <sz val="10"/>
        <color rgb="FF000000"/>
        <rFont val="Noto Sans CJK SC"/>
        <family val="2"/>
      </rPr>
      <t xml:space="preserve">目標</t>
    </r>
    <r>
      <rPr>
        <b val="true"/>
        <sz val="10"/>
        <color rgb="FF000000"/>
        <rFont val="Microsoft JhengHei"/>
        <family val="0"/>
        <charset val="1"/>
      </rPr>
      <t xml:space="preserve">K₂O</t>
    </r>
    <r>
      <rPr>
        <b val="true"/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</si>
  <si>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Microsoft JhengHei"/>
        <family val="0"/>
        <charset val="1"/>
      </rPr>
      <t xml:space="preserve">TGAP</t>
    </r>
    <r>
      <rPr>
        <sz val="10"/>
        <color rgb="FF000000"/>
        <rFont val="Noto Sans CJK SC"/>
        <family val="2"/>
      </rPr>
      <t xml:space="preserve">番茄</t>
    </r>
    <r>
      <rPr>
        <sz val="10"/>
        <color rgb="FF000000"/>
        <rFont val="Microsoft JhengHei"/>
        <family val="0"/>
        <charset val="1"/>
      </rPr>
      <t xml:space="preserve">:K₂O 120–180(S2)</t>
    </r>
  </si>
  <si>
    <r>
      <rPr>
        <b val="true"/>
        <sz val="10"/>
        <color rgb="FF000000"/>
        <rFont val="Noto Sans CJK SC"/>
        <family val="2"/>
      </rPr>
      <t xml:space="preserve">基肥</t>
    </r>
    <r>
      <rPr>
        <b val="true"/>
        <sz val="10"/>
        <color rgb="FF000000"/>
        <rFont val="Microsoft JhengHei"/>
        <family val="0"/>
        <charset val="1"/>
      </rPr>
      <t xml:space="preserve">N</t>
    </r>
    <r>
      <rPr>
        <b val="true"/>
        <sz val="10"/>
        <color rgb="FF000000"/>
        <rFont val="Noto Sans CJK SC"/>
        <family val="2"/>
      </rPr>
      <t xml:space="preserve">比例</t>
    </r>
  </si>
  <si>
    <r>
      <rPr>
        <sz val="10"/>
        <color rgb="FF000000"/>
        <rFont val="Noto Sans CJK SC"/>
        <family val="2"/>
      </rPr>
      <t xml:space="preserve">基肥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全量磷肥</t>
    </r>
    <r>
      <rPr>
        <sz val="10"/>
        <color rgb="FF000000"/>
        <rFont val="Microsoft JhengHei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有機肥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氮鉀</t>
    </r>
    <r>
      <rPr>
        <sz val="10"/>
        <color rgb="FF000000"/>
        <rFont val="Microsoft JhengHei"/>
        <family val="0"/>
        <charset val="1"/>
      </rPr>
      <t xml:space="preserve">15–20%(S2)</t>
    </r>
  </si>
  <si>
    <r>
      <rPr>
        <b val="true"/>
        <sz val="10"/>
        <color rgb="FF000000"/>
        <rFont val="Noto Sans CJK SC"/>
        <family val="2"/>
      </rPr>
      <t xml:space="preserve">基肥</t>
    </r>
    <r>
      <rPr>
        <b val="true"/>
        <sz val="10"/>
        <color rgb="FF000000"/>
        <rFont val="Microsoft JhengHei"/>
        <family val="0"/>
        <charset val="1"/>
      </rPr>
      <t xml:space="preserve">K₂O</t>
    </r>
    <r>
      <rPr>
        <b val="true"/>
        <sz val="10"/>
        <color rgb="FF000000"/>
        <rFont val="Noto Sans CJK SC"/>
        <family val="2"/>
      </rPr>
      <t xml:space="preserve">比例</t>
    </r>
  </si>
  <si>
    <r>
      <rPr>
        <sz val="10"/>
        <color rgb="FF000000"/>
        <rFont val="Noto Sans CJK SC"/>
        <family val="2"/>
      </rPr>
      <t xml:space="preserve">同上</t>
    </r>
    <r>
      <rPr>
        <sz val="10"/>
        <color rgb="FF000000"/>
        <rFont val="Microsoft JhengHei"/>
        <family val="0"/>
        <charset val="1"/>
      </rPr>
      <t xml:space="preserve">(S2)</t>
    </r>
  </si>
  <si>
    <t xml:space="preserve">堆肥用量</t>
  </si>
  <si>
    <r>
      <rPr>
        <sz val="10"/>
        <color rgb="FF000000"/>
        <rFont val="Microsoft JhengHei"/>
        <family val="0"/>
        <charset val="1"/>
      </rPr>
      <t xml:space="preserve">kg/0.1</t>
    </r>
    <r>
      <rPr>
        <sz val="10"/>
        <color rgb="FF000000"/>
        <rFont val="Noto Sans CJK SC"/>
        <family val="2"/>
      </rPr>
      <t xml:space="preserve">公頃</t>
    </r>
  </si>
  <si>
    <r>
      <rPr>
        <sz val="10"/>
        <color rgb="FF000000"/>
        <rFont val="Noto Sans CJK SC"/>
        <family val="2"/>
      </rPr>
      <t xml:space="preserve">堆肥</t>
    </r>
    <r>
      <rPr>
        <sz val="10"/>
        <color rgb="FF000000"/>
        <rFont val="Microsoft JhengHei"/>
        <family val="0"/>
        <charset val="1"/>
      </rPr>
      <t xml:space="preserve">300–400 kg/0.1</t>
    </r>
    <r>
      <rPr>
        <sz val="10"/>
        <color rgb="FF000000"/>
        <rFont val="Noto Sans CJK SC"/>
        <family val="2"/>
      </rPr>
      <t xml:space="preserve">公頃</t>
    </r>
    <r>
      <rPr>
        <sz val="10"/>
        <color rgb="FF000000"/>
        <rFont val="Microsoft JhengHei"/>
        <family val="0"/>
        <charset val="1"/>
      </rPr>
      <t xml:space="preserve">(S1)</t>
    </r>
  </si>
  <si>
    <t xml:space="preserve">硼砂用量</t>
  </si>
  <si>
    <r>
      <rPr>
        <sz val="10"/>
        <color rgb="FF000000"/>
        <rFont val="Noto Sans CJK SC"/>
        <family val="2"/>
      </rPr>
      <t xml:space="preserve">硼砂</t>
    </r>
    <r>
      <rPr>
        <sz val="10"/>
        <color rgb="FF000000"/>
        <rFont val="Microsoft JhengHei"/>
        <family val="0"/>
        <charset val="1"/>
      </rPr>
      <t xml:space="preserve">1 kg/0.1</t>
    </r>
    <r>
      <rPr>
        <sz val="10"/>
        <color rgb="FF000000"/>
        <rFont val="Noto Sans CJK SC"/>
        <family val="2"/>
      </rPr>
      <t xml:space="preserve">公頃</t>
    </r>
    <r>
      <rPr>
        <sz val="10"/>
        <color rgb="FF000000"/>
        <rFont val="Microsoft JhengHei"/>
        <family val="0"/>
        <charset val="1"/>
      </rPr>
      <t xml:space="preserve">(S1)</t>
    </r>
  </si>
  <si>
    <r>
      <rPr>
        <b val="true"/>
        <sz val="10"/>
        <color rgb="FF000000"/>
        <rFont val="Noto Sans CJK SC"/>
        <family val="2"/>
      </rPr>
      <t xml:space="preserve">磷肥 </t>
    </r>
    <r>
      <rPr>
        <b val="true"/>
        <sz val="10"/>
        <color rgb="FF000000"/>
        <rFont val="Microsoft JhengHei"/>
        <family val="0"/>
        <charset val="1"/>
      </rPr>
      <t xml:space="preserve">P₂O₅</t>
    </r>
    <r>
      <rPr>
        <b val="true"/>
        <sz val="10"/>
        <color rgb="FF000000"/>
        <rFont val="Noto Sans CJK SC"/>
        <family val="2"/>
      </rPr>
      <t xml:space="preserve">含量</t>
    </r>
  </si>
  <si>
    <r>
      <rPr>
        <sz val="10"/>
        <color rgb="FF000000"/>
        <rFont val="Noto Sans CJK SC"/>
        <family val="2"/>
      </rPr>
      <t xml:space="preserve">範例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過磷酸鈣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可改為自家肥料成分</t>
    </r>
  </si>
  <si>
    <r>
      <rPr>
        <b val="true"/>
        <sz val="10"/>
        <color rgb="FF000000"/>
        <rFont val="Noto Sans CJK SC"/>
        <family val="2"/>
      </rPr>
      <t xml:space="preserve">鉀肥 </t>
    </r>
    <r>
      <rPr>
        <b val="true"/>
        <sz val="10"/>
        <color rgb="FF000000"/>
        <rFont val="Microsoft JhengHei"/>
        <family val="0"/>
        <charset val="1"/>
      </rPr>
      <t xml:space="preserve">N</t>
    </r>
    <r>
      <rPr>
        <b val="true"/>
        <sz val="10"/>
        <color rgb="FF000000"/>
        <rFont val="Noto Sans CJK SC"/>
        <family val="2"/>
      </rPr>
      <t xml:space="preserve">含量</t>
    </r>
  </si>
  <si>
    <r>
      <rPr>
        <sz val="10"/>
        <color rgb="FF000000"/>
        <rFont val="Noto Sans CJK SC"/>
        <family val="2"/>
      </rPr>
      <t xml:space="preserve">範例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硝酸鉀</t>
    </r>
    <r>
      <rPr>
        <sz val="10"/>
        <color rgb="FF000000"/>
        <rFont val="Microsoft JhengHei"/>
        <family val="0"/>
        <charset val="1"/>
      </rPr>
      <t xml:space="preserve">13-0-46;</t>
    </r>
    <r>
      <rPr>
        <sz val="10"/>
        <color rgb="FF000000"/>
        <rFont val="Noto Sans CJK SC"/>
        <family val="2"/>
      </rPr>
      <t xml:space="preserve">可修改</t>
    </r>
  </si>
  <si>
    <r>
      <rPr>
        <b val="true"/>
        <sz val="10"/>
        <color rgb="FF000000"/>
        <rFont val="Noto Sans CJK SC"/>
        <family val="2"/>
      </rPr>
      <t xml:space="preserve">鉀肥 </t>
    </r>
    <r>
      <rPr>
        <b val="true"/>
        <sz val="10"/>
        <color rgb="FF000000"/>
        <rFont val="Microsoft JhengHei"/>
        <family val="0"/>
        <charset val="1"/>
      </rPr>
      <t xml:space="preserve">K₂O</t>
    </r>
    <r>
      <rPr>
        <b val="true"/>
        <sz val="10"/>
        <color rgb="FF000000"/>
        <rFont val="Noto Sans CJK SC"/>
        <family val="2"/>
      </rPr>
      <t xml:space="preserve">含量</t>
    </r>
  </si>
  <si>
    <t xml:space="preserve">同上</t>
  </si>
  <si>
    <r>
      <rPr>
        <b val="true"/>
        <sz val="10"/>
        <color rgb="FF000000"/>
        <rFont val="Noto Sans CJK SC"/>
        <family val="2"/>
      </rPr>
      <t xml:space="preserve">氮肥 </t>
    </r>
    <r>
      <rPr>
        <b val="true"/>
        <sz val="10"/>
        <color rgb="FF000000"/>
        <rFont val="Microsoft JhengHei"/>
        <family val="0"/>
        <charset val="1"/>
      </rPr>
      <t xml:space="preserve">N</t>
    </r>
    <r>
      <rPr>
        <b val="true"/>
        <sz val="10"/>
        <color rgb="FF000000"/>
        <rFont val="Noto Sans CJK SC"/>
        <family val="2"/>
      </rPr>
      <t xml:space="preserve">含量</t>
    </r>
  </si>
  <si>
    <r>
      <rPr>
        <sz val="10"/>
        <color rgb="FF000000"/>
        <rFont val="Noto Sans CJK SC"/>
        <family val="2"/>
      </rPr>
      <t xml:space="preserve">範例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硝酸鈣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含鈣</t>
    </r>
    <r>
      <rPr>
        <sz val="10"/>
        <color rgb="FF000000"/>
        <rFont val="Microsoft JhengHei"/>
        <family val="0"/>
        <charset val="1"/>
      </rPr>
      <t xml:space="preserve">);</t>
    </r>
    <r>
      <rPr>
        <sz val="10"/>
        <color rgb="FF000000"/>
        <rFont val="Noto Sans CJK SC"/>
        <family val="2"/>
      </rPr>
      <t xml:space="preserve">可修改</t>
    </r>
  </si>
  <si>
    <t xml:space="preserve">黏紙每張涵蓋面積</t>
  </si>
  <si>
    <r>
      <rPr>
        <sz val="10"/>
        <color rgb="FF000000"/>
        <rFont val="Noto Sans CJK SC"/>
        <family val="2"/>
      </rPr>
      <t xml:space="preserve">每</t>
    </r>
    <r>
      <rPr>
        <sz val="10"/>
        <color rgb="FF000000"/>
        <rFont val="Microsoft JhengHei"/>
        <family val="0"/>
        <charset val="1"/>
      </rPr>
      <t xml:space="preserve">1,000 ft²(≈93 m²)1</t>
    </r>
    <r>
      <rPr>
        <sz val="10"/>
        <color rgb="FF000000"/>
        <rFont val="Noto Sans CJK SC"/>
        <family val="2"/>
      </rPr>
      <t xml:space="preserve">張</t>
    </r>
    <r>
      <rPr>
        <sz val="10"/>
        <color rgb="FF000000"/>
        <rFont val="Microsoft JhengHei"/>
        <family val="0"/>
        <charset val="1"/>
      </rPr>
      <t xml:space="preserve">(S19)</t>
    </r>
  </si>
  <si>
    <r>
      <rPr>
        <b val="true"/>
        <sz val="10"/>
        <color rgb="FF000000"/>
        <rFont val="Noto Sans CJK SC"/>
        <family val="2"/>
      </rPr>
      <t xml:space="preserve">▍ 自動計算</t>
    </r>
    <r>
      <rPr>
        <b val="true"/>
        <sz val="10"/>
        <color rgb="FF000000"/>
        <rFont val="Microsoft JhengHei"/>
        <family val="0"/>
        <charset val="1"/>
      </rPr>
      <t xml:space="preserve">:</t>
    </r>
    <r>
      <rPr>
        <b val="true"/>
        <sz val="10"/>
        <color rgb="FF000000"/>
        <rFont val="Noto Sans CJK SC"/>
        <family val="2"/>
      </rPr>
      <t xml:space="preserve">株數與訂苗</t>
    </r>
  </si>
  <si>
    <t xml:space="preserve">定植株數</t>
  </si>
  <si>
    <t xml:space="preserve">株</t>
  </si>
  <si>
    <r>
      <rPr>
        <sz val="10"/>
        <color rgb="FF000000"/>
        <rFont val="Noto Sans CJK SC"/>
        <family val="2"/>
      </rPr>
      <t xml:space="preserve">面積</t>
    </r>
    <r>
      <rPr>
        <sz val="10"/>
        <color rgb="FF000000"/>
        <rFont val="Microsoft JhengHei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畦距</t>
    </r>
    <r>
      <rPr>
        <sz val="10"/>
        <color rgb="FF000000"/>
        <rFont val="Microsoft JhengHei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行數</t>
    </r>
    <r>
      <rPr>
        <sz val="10"/>
        <color rgb="FF000000"/>
        <rFont val="Microsoft JhengHei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株距</t>
    </r>
  </si>
  <si>
    <t xml:space="preserve">總幹數</t>
  </si>
  <si>
    <t xml:space="preserve">幹</t>
  </si>
  <si>
    <t xml:space="preserve">每幹佔面積</t>
  </si>
  <si>
    <r>
      <rPr>
        <sz val="10"/>
        <color rgb="FF000000"/>
        <rFont val="Microsoft JhengHei"/>
        <family val="0"/>
        <charset val="1"/>
      </rPr>
      <t xml:space="preserve">m²/</t>
    </r>
    <r>
      <rPr>
        <sz val="10"/>
        <color rgb="FF000000"/>
        <rFont val="Noto Sans CJK SC"/>
        <family val="2"/>
      </rPr>
      <t xml:space="preserve">幹</t>
    </r>
  </si>
  <si>
    <t xml:space="preserve">訂苗數</t>
  </si>
  <si>
    <r>
      <rPr>
        <sz val="10"/>
        <color rgb="FF000000"/>
        <rFont val="Noto Sans CJK SC"/>
        <family val="2"/>
      </rPr>
      <t xml:space="preserve">含備苗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訂苗規格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苗齡四本葉</t>
    </r>
    <r>
      <rPr>
        <sz val="10"/>
        <color rgb="FF000000"/>
        <rFont val="Microsoft JhengHei"/>
        <family val="0"/>
        <charset val="1"/>
      </rPr>
      <t xml:space="preserve">(4–6</t>
    </r>
    <r>
      <rPr>
        <sz val="10"/>
        <color rgb="FF000000"/>
        <rFont val="Noto Sans CJK SC"/>
        <family val="2"/>
      </rPr>
      <t xml:space="preserve">葉</t>
    </r>
    <r>
      <rPr>
        <sz val="10"/>
        <color rgb="FF000000"/>
        <rFont val="Microsoft JhengHei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、株高約</t>
    </r>
    <r>
      <rPr>
        <sz val="10"/>
        <color rgb="FF000000"/>
        <rFont val="Microsoft JhengHei"/>
        <family val="0"/>
        <charset val="1"/>
      </rPr>
      <t xml:space="preserve">10–15 cm(S1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S12)</t>
    </r>
  </si>
  <si>
    <t xml:space="preserve">最晚訂苗日</t>
  </si>
  <si>
    <t xml:space="preserve">穴盤數</t>
  </si>
  <si>
    <t xml:space="preserve">盤</t>
  </si>
  <si>
    <t xml:space="preserve">育苗場推估播種日</t>
  </si>
  <si>
    <t xml:space="preserve">到苗驗收日</t>
  </si>
  <si>
    <r>
      <rPr>
        <sz val="10"/>
        <color rgb="FF000000"/>
        <rFont val="Noto Sans CJK SC"/>
        <family val="2"/>
      </rPr>
      <t xml:space="preserve">到苗當天驗收後定植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見工作</t>
    </r>
    <r>
      <rPr>
        <sz val="10"/>
        <color rgb="FF000000"/>
        <rFont val="Microsoft JhengHei"/>
        <family val="0"/>
        <charset val="1"/>
      </rPr>
      <t xml:space="preserve">A11)</t>
    </r>
  </si>
  <si>
    <r>
      <rPr>
        <b val="true"/>
        <sz val="10"/>
        <color rgb="FF000000"/>
        <rFont val="Noto Sans CJK SC"/>
        <family val="2"/>
      </rPr>
      <t xml:space="preserve">首採日</t>
    </r>
    <r>
      <rPr>
        <b val="true"/>
        <sz val="10"/>
        <color rgb="FF000000"/>
        <rFont val="Microsoft JhengHei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估</t>
    </r>
    <r>
      <rPr>
        <b val="true"/>
        <sz val="10"/>
        <color rgb="FF000000"/>
        <rFont val="Microsoft JhengHei"/>
        <family val="0"/>
        <charset val="1"/>
      </rPr>
      <t xml:space="preserve">)</t>
    </r>
  </si>
  <si>
    <t xml:space="preserve">摘心日</t>
  </si>
  <si>
    <r>
      <rPr>
        <sz val="10"/>
        <color rgb="FF000000"/>
        <rFont val="Noto Sans CJK SC"/>
        <family val="2"/>
      </rPr>
      <t xml:space="preserve">作期結束前</t>
    </r>
    <r>
      <rPr>
        <sz val="10"/>
        <color rgb="FF000000"/>
        <rFont val="Microsoft JhengHei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週摘除頂芽</t>
    </r>
    <r>
      <rPr>
        <sz val="10"/>
        <color rgb="FF000000"/>
        <rFont val="Microsoft JhengHei"/>
        <family val="0"/>
        <charset val="1"/>
      </rPr>
      <t xml:space="preserve">(S12)</t>
    </r>
  </si>
  <si>
    <t xml:space="preserve">末採日</t>
  </si>
  <si>
    <r>
      <rPr>
        <b val="true"/>
        <sz val="10"/>
        <color rgb="FF000000"/>
        <rFont val="Noto Sans CJK SC"/>
        <family val="2"/>
      </rPr>
      <t xml:space="preserve">黃色黏紙張數</t>
    </r>
    <r>
      <rPr>
        <b val="true"/>
        <sz val="10"/>
        <color rgb="FF000000"/>
        <rFont val="Microsoft JhengHei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監測</t>
    </r>
    <r>
      <rPr>
        <b val="true"/>
        <sz val="10"/>
        <color rgb="FF000000"/>
        <rFont val="Microsoft JhengHei"/>
        <family val="0"/>
        <charset val="1"/>
      </rPr>
      <t xml:space="preserve">)</t>
    </r>
  </si>
  <si>
    <t xml:space="preserve">張</t>
  </si>
  <si>
    <r>
      <rPr>
        <sz val="10"/>
        <color rgb="FF000000"/>
        <rFont val="Noto Sans CJK SC"/>
        <family val="2"/>
      </rPr>
      <t xml:space="preserve">放在通風口、門口、周邊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高度與作物冠層齊</t>
    </r>
    <r>
      <rPr>
        <sz val="10"/>
        <color rgb="FF000000"/>
        <rFont val="Microsoft JhengHei"/>
        <family val="0"/>
        <charset val="1"/>
      </rPr>
      <t xml:space="preserve">(S19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S8)</t>
    </r>
  </si>
  <si>
    <r>
      <rPr>
        <b val="true"/>
        <sz val="10"/>
        <color rgb="FF000000"/>
        <rFont val="Noto Sans CJK SC"/>
        <family val="2"/>
      </rPr>
      <t xml:space="preserve">熊蜂箱數</t>
    </r>
    <r>
      <rPr>
        <b val="true"/>
        <sz val="10"/>
        <color rgb="FF000000"/>
        <rFont val="Microsoft JhengHei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下限</t>
    </r>
    <r>
      <rPr>
        <b val="true"/>
        <sz val="10"/>
        <color rgb="FF000000"/>
        <rFont val="Microsoft JhengHei"/>
        <family val="0"/>
        <charset val="1"/>
      </rPr>
      <t xml:space="preserve">)</t>
    </r>
  </si>
  <si>
    <t xml:space="preserve">箱</t>
  </si>
  <si>
    <r>
      <rPr>
        <sz val="10"/>
        <color rgb="FF000000"/>
        <rFont val="Noto Sans CJK SC"/>
        <family val="2"/>
      </rPr>
      <t xml:space="preserve">每分地</t>
    </r>
    <r>
      <rPr>
        <sz val="10"/>
        <color rgb="FF000000"/>
        <rFont val="Microsoft JhengHei"/>
        <family val="0"/>
        <charset val="1"/>
      </rPr>
      <t xml:space="preserve">1–2</t>
    </r>
    <r>
      <rPr>
        <sz val="10"/>
        <color rgb="FF000000"/>
        <rFont val="Noto Sans CJK SC"/>
        <family val="2"/>
      </rPr>
      <t xml:space="preserve">箱</t>
    </r>
    <r>
      <rPr>
        <sz val="10"/>
        <color rgb="FF000000"/>
        <rFont val="Microsoft JhengHei"/>
        <family val="0"/>
        <charset val="1"/>
      </rPr>
      <t xml:space="preserve">(S4)</t>
    </r>
  </si>
  <si>
    <r>
      <rPr>
        <b val="true"/>
        <sz val="10"/>
        <color rgb="FF000000"/>
        <rFont val="Noto Sans CJK SC"/>
        <family val="2"/>
      </rPr>
      <t xml:space="preserve">熊蜂箱數</t>
    </r>
    <r>
      <rPr>
        <b val="true"/>
        <sz val="10"/>
        <color rgb="FF000000"/>
        <rFont val="Microsoft JhengHei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上限</t>
    </r>
    <r>
      <rPr>
        <b val="true"/>
        <sz val="10"/>
        <color rgb="FF000000"/>
        <rFont val="Microsoft JhengHei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</si>
  <si>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▍ 自動計算</t>
    </r>
    <r>
      <rPr>
        <b val="true"/>
        <sz val="10"/>
        <color rgb="FF000000"/>
        <rFont val="Microsoft JhengHei"/>
        <family val="0"/>
        <charset val="1"/>
      </rPr>
      <t xml:space="preserve">:</t>
    </r>
    <r>
      <rPr>
        <b val="true"/>
        <sz val="10"/>
        <color rgb="FF000000"/>
        <rFont val="Noto Sans CJK SC"/>
        <family val="2"/>
      </rPr>
      <t xml:space="preserve">施肥量</t>
    </r>
    <r>
      <rPr>
        <b val="true"/>
        <sz val="10"/>
        <color rgb="FF000000"/>
        <rFont val="Microsoft JhengHei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本場面積</t>
    </r>
    <r>
      <rPr>
        <b val="true"/>
        <sz val="10"/>
        <color rgb="FF000000"/>
        <rFont val="Microsoft JhengHei"/>
        <family val="0"/>
        <charset val="1"/>
      </rPr>
      <t xml:space="preserve">)</t>
    </r>
  </si>
  <si>
    <t xml:space="preserve">N (kg)</t>
  </si>
  <si>
    <t xml:space="preserve">P₂O₅ (kg)</t>
  </si>
  <si>
    <t xml:space="preserve">K₂O (kg)</t>
  </si>
  <si>
    <t xml:space="preserve">全期總量</t>
  </si>
  <si>
    <t xml:space="preserve">基肥元素量</t>
  </si>
  <si>
    <t xml:space="preserve">每次追肥元素量</t>
  </si>
  <si>
    <r>
      <rPr>
        <b val="true"/>
        <sz val="10"/>
        <color rgb="FF000000"/>
        <rFont val="Noto Sans CJK SC"/>
        <family val="2"/>
      </rPr>
      <t xml:space="preserve">每次追肥佔總量</t>
    </r>
    <r>
      <rPr>
        <b val="true"/>
        <sz val="10"/>
        <color rgb="FF000000"/>
        <rFont val="Microsoft JhengHei"/>
        <family val="0"/>
        <charset val="1"/>
      </rPr>
      <t xml:space="preserve">%</t>
    </r>
  </si>
  <si>
    <t xml:space="preserve">檢核</t>
  </si>
  <si>
    <r>
      <rPr>
        <b val="true"/>
        <sz val="10"/>
        <color rgb="FF000000"/>
        <rFont val="Noto Sans CJK SC"/>
        <family val="2"/>
      </rPr>
      <t xml:space="preserve">▍ 換算成肥料產品量</t>
    </r>
    <r>
      <rPr>
        <b val="true"/>
        <sz val="10"/>
        <color rgb="FF000000"/>
        <rFont val="Microsoft JhengHei"/>
        <family val="0"/>
        <charset val="1"/>
      </rPr>
      <t xml:space="preserve">(kg)</t>
    </r>
  </si>
  <si>
    <t xml:space="preserve">肥料</t>
  </si>
  <si>
    <r>
      <rPr>
        <b val="true"/>
        <sz val="10"/>
        <color rgb="FFFFFFFF"/>
        <rFont val="Noto Sans CJK SC"/>
        <family val="2"/>
      </rPr>
      <t xml:space="preserve">基肥 </t>
    </r>
    <r>
      <rPr>
        <b val="true"/>
        <sz val="10"/>
        <color rgb="FFFFFFFF"/>
        <rFont val="Microsoft JhengHei"/>
        <family val="0"/>
        <charset val="1"/>
      </rPr>
      <t xml:space="preserve">(kg)</t>
    </r>
  </si>
  <si>
    <r>
      <rPr>
        <b val="true"/>
        <sz val="10"/>
        <color rgb="FFFFFFFF"/>
        <rFont val="Noto Sans CJK SC"/>
        <family val="2"/>
      </rPr>
      <t xml:space="preserve">每次追肥 </t>
    </r>
    <r>
      <rPr>
        <b val="true"/>
        <sz val="10"/>
        <color rgb="FFFFFFFF"/>
        <rFont val="Microsoft JhengHei"/>
        <family val="0"/>
        <charset val="1"/>
      </rPr>
      <t xml:space="preserve">(kg)</t>
    </r>
  </si>
  <si>
    <t xml:space="preserve">說明</t>
  </si>
  <si>
    <r>
      <rPr>
        <b val="true"/>
        <sz val="10"/>
        <color rgb="FF000000"/>
        <rFont val="Noto Sans CJK SC"/>
        <family val="2"/>
      </rPr>
      <t xml:space="preserve">磷肥</t>
    </r>
    <r>
      <rPr>
        <b val="true"/>
        <sz val="10"/>
        <color rgb="FF000000"/>
        <rFont val="Microsoft JhengHei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依</t>
    </r>
    <r>
      <rPr>
        <b val="true"/>
        <sz val="10"/>
        <color rgb="FF000000"/>
        <rFont val="Microsoft JhengHei"/>
        <family val="0"/>
        <charset val="1"/>
      </rPr>
      <t xml:space="preserve">B27</t>
    </r>
    <r>
      <rPr>
        <b val="true"/>
        <sz val="10"/>
        <color rgb="FF000000"/>
        <rFont val="Noto Sans CJK SC"/>
        <family val="2"/>
      </rPr>
      <t xml:space="preserve">成分</t>
    </r>
    <r>
      <rPr>
        <b val="true"/>
        <sz val="10"/>
        <color rgb="FF000000"/>
        <rFont val="Microsoft JhengHei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</si>
  <si>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磷肥全量作基肥</t>
    </r>
    <r>
      <rPr>
        <sz val="10"/>
        <color rgb="FF000000"/>
        <rFont val="Microsoft JhengHei"/>
        <family val="0"/>
        <charset val="1"/>
      </rPr>
      <t xml:space="preserve">(S2)</t>
    </r>
  </si>
  <si>
    <r>
      <rPr>
        <b val="true"/>
        <sz val="10"/>
        <color rgb="FF000000"/>
        <rFont val="Noto Sans CJK SC"/>
        <family val="2"/>
      </rPr>
      <t xml:space="preserve">鉀肥</t>
    </r>
    <r>
      <rPr>
        <b val="true"/>
        <sz val="10"/>
        <color rgb="FF000000"/>
        <rFont val="Microsoft JhengHei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依</t>
    </r>
    <r>
      <rPr>
        <b val="true"/>
        <sz val="10"/>
        <color rgb="FF000000"/>
        <rFont val="Microsoft JhengHei"/>
        <family val="0"/>
        <charset val="1"/>
      </rPr>
      <t xml:space="preserve">B28–B29</t>
    </r>
    <r>
      <rPr>
        <b val="true"/>
        <sz val="10"/>
        <color rgb="FF000000"/>
        <rFont val="Noto Sans CJK SC"/>
        <family val="2"/>
      </rPr>
      <t xml:space="preserve">成分</t>
    </r>
    <r>
      <rPr>
        <b val="true"/>
        <sz val="10"/>
        <color rgb="FF000000"/>
        <rFont val="Microsoft JhengHei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</si>
  <si>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先以鉀肥滿足</t>
    </r>
    <r>
      <rPr>
        <sz val="10"/>
        <color rgb="FF000000"/>
        <rFont val="Microsoft JhengHei"/>
        <family val="0"/>
        <charset val="1"/>
      </rPr>
      <t xml:space="preserve">K₂O,</t>
    </r>
    <r>
      <rPr>
        <sz val="10"/>
        <color rgb="FF000000"/>
        <rFont val="Noto Sans CJK SC"/>
        <family val="2"/>
      </rPr>
      <t xml:space="preserve">同時帶入氮</t>
    </r>
  </si>
  <si>
    <r>
      <rPr>
        <b val="true"/>
        <sz val="10"/>
        <color rgb="FF000000"/>
        <rFont val="Noto Sans CJK SC"/>
        <family val="2"/>
      </rPr>
      <t xml:space="preserve">氮肥</t>
    </r>
    <r>
      <rPr>
        <b val="true"/>
        <sz val="10"/>
        <color rgb="FF000000"/>
        <rFont val="Microsoft JhengHei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依</t>
    </r>
    <r>
      <rPr>
        <b val="true"/>
        <sz val="10"/>
        <color rgb="FF000000"/>
        <rFont val="Microsoft JhengHei"/>
        <family val="0"/>
        <charset val="1"/>
      </rPr>
      <t xml:space="preserve">B30</t>
    </r>
    <r>
      <rPr>
        <b val="true"/>
        <sz val="10"/>
        <color rgb="FF000000"/>
        <rFont val="Noto Sans CJK SC"/>
        <family val="2"/>
      </rPr>
      <t xml:space="preserve">成分</t>
    </r>
    <r>
      <rPr>
        <b val="true"/>
        <sz val="10"/>
        <color rgb="FF000000"/>
        <rFont val="Microsoft JhengHei"/>
        <family val="0"/>
        <charset val="1"/>
      </rPr>
      <t xml:space="preserve">)</t>
    </r>
  </si>
  <si>
    <t xml:space="preserve">扣除鉀肥帶入的氮後補足</t>
  </si>
  <si>
    <t xml:space="preserve">堆肥</t>
  </si>
  <si>
    <t xml:space="preserve">S1</t>
  </si>
  <si>
    <t xml:space="preserve">硼砂</t>
  </si>
  <si>
    <r>
      <rPr>
        <b val="true"/>
        <sz val="10"/>
        <color rgb="FF000000"/>
        <rFont val="Noto Sans CJK SC"/>
        <family val="2"/>
      </rPr>
      <t xml:space="preserve">▍ 追肥日程</t>
    </r>
    <r>
      <rPr>
        <b val="true"/>
        <sz val="10"/>
        <color rgb="FF000000"/>
        <rFont val="Microsoft JhengHei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自動</t>
    </r>
    <r>
      <rPr>
        <b val="true"/>
        <sz val="10"/>
        <color rgb="FF000000"/>
        <rFont val="Microsoft JhengHei"/>
        <family val="0"/>
        <charset val="1"/>
      </rPr>
      <t xml:space="preserve">)</t>
    </r>
  </si>
  <si>
    <t xml:space="preserve">追肥次別</t>
  </si>
  <si>
    <t xml:space="preserve">定植後週次</t>
  </si>
  <si>
    <t xml:space="preserve">預定日期</t>
  </si>
  <si>
    <r>
      <rPr>
        <i val="true"/>
        <sz val="10"/>
        <color rgb="FF000000"/>
        <rFont val="Noto Sans CJK SC"/>
        <family val="2"/>
      </rPr>
      <t xml:space="preserve">註</t>
    </r>
    <r>
      <rPr>
        <i val="true"/>
        <sz val="10"/>
        <color rgb="FF000000"/>
        <rFont val="Microsoft JhengHei"/>
        <family val="0"/>
        <charset val="1"/>
      </rPr>
      <t xml:space="preserve">:</t>
    </r>
    <r>
      <rPr>
        <i val="true"/>
        <sz val="10"/>
        <color rgb="FF000000"/>
        <rFont val="Noto Sans CJK SC"/>
        <family val="2"/>
      </rPr>
      <t xml:space="preserve">追肥最多顯示</t>
    </r>
    <r>
      <rPr>
        <i val="true"/>
        <sz val="10"/>
        <color rgb="FF000000"/>
        <rFont val="Microsoft JhengHei"/>
        <family val="0"/>
        <charset val="1"/>
      </rPr>
      <t xml:space="preserve">10</t>
    </r>
    <r>
      <rPr>
        <i val="true"/>
        <sz val="10"/>
        <color rgb="FF000000"/>
        <rFont val="Noto Sans CJK SC"/>
        <family val="2"/>
      </rPr>
      <t xml:space="preserve">次</t>
    </r>
    <r>
      <rPr>
        <i val="true"/>
        <sz val="10"/>
        <color rgb="FF000000"/>
        <rFont val="Microsoft JhengHei"/>
        <family val="0"/>
        <charset val="1"/>
      </rPr>
      <t xml:space="preserve">;</t>
    </r>
    <r>
      <rPr>
        <i val="true"/>
        <sz val="10"/>
        <color rgb="FF000000"/>
        <rFont val="Noto Sans CJK SC"/>
        <family val="2"/>
      </rPr>
      <t xml:space="preserve">若</t>
    </r>
    <r>
      <rPr>
        <i val="true"/>
        <sz val="10"/>
        <color rgb="FF000000"/>
        <rFont val="Microsoft JhengHei"/>
        <family val="0"/>
        <charset val="1"/>
      </rPr>
      <t xml:space="preserve">B17</t>
    </r>
    <r>
      <rPr>
        <i val="true"/>
        <sz val="10"/>
        <color rgb="FF000000"/>
        <rFont val="Noto Sans CJK SC"/>
        <family val="2"/>
      </rPr>
      <t xml:space="preserve">大於</t>
    </r>
    <r>
      <rPr>
        <i val="true"/>
        <sz val="10"/>
        <color rgb="FF000000"/>
        <rFont val="Microsoft JhengHei"/>
        <family val="0"/>
        <charset val="1"/>
      </rPr>
      <t xml:space="preserve">10</t>
    </r>
    <r>
      <rPr>
        <i val="true"/>
        <sz val="10"/>
        <color rgb="FF000000"/>
        <rFont val="Noto Sans CJK SC"/>
        <family val="2"/>
      </rPr>
      <t xml:space="preserve">請自行延伸。</t>
    </r>
  </si>
  <si>
    <r>
      <rPr>
        <b val="true"/>
        <sz val="16"/>
        <color rgb="FF2F5233"/>
        <rFont val="Noto Sans CJK SC"/>
        <family val="2"/>
      </rPr>
      <t xml:space="preserve">階段工作清單</t>
    </r>
    <r>
      <rPr>
        <b val="true"/>
        <sz val="16"/>
        <color rgb="FF2F5233"/>
        <rFont val="Microsoft JhengHei"/>
        <family val="0"/>
        <charset val="1"/>
      </rPr>
      <t xml:space="preserve">(</t>
    </r>
    <r>
      <rPr>
        <b val="true"/>
        <sz val="16"/>
        <color rgb="FF2F5233"/>
        <rFont val="Noto Sans CJK SC"/>
        <family val="2"/>
      </rPr>
      <t xml:space="preserve">依定植日自動排日期</t>
    </r>
    <r>
      <rPr>
        <b val="true"/>
        <sz val="16"/>
        <color rgb="FF2F5233"/>
        <rFont val="Microsoft JhengHei"/>
        <family val="0"/>
        <charset val="1"/>
      </rPr>
      <t xml:space="preserve">)</t>
    </r>
  </si>
  <si>
    <r>
      <rPr>
        <sz val="10"/>
        <color rgb="FF595959"/>
        <rFont val="Noto Sans CJK SC"/>
        <family val="2"/>
      </rPr>
      <t xml:space="preserve">週次</t>
    </r>
    <r>
      <rPr>
        <sz val="10"/>
        <color rgb="FF595959"/>
        <rFont val="Microsoft JhengHei"/>
        <family val="0"/>
        <charset val="1"/>
      </rPr>
      <t xml:space="preserve">:</t>
    </r>
    <r>
      <rPr>
        <sz val="10"/>
        <color rgb="FF595959"/>
        <rFont val="Noto Sans CJK SC"/>
        <family val="2"/>
      </rPr>
      <t xml:space="preserve">定植當週</t>
    </r>
    <r>
      <rPr>
        <sz val="10"/>
        <color rgb="FF595959"/>
        <rFont val="Microsoft JhengHei"/>
        <family val="0"/>
        <charset val="1"/>
      </rPr>
      <t xml:space="preserve">=0,</t>
    </r>
    <r>
      <rPr>
        <sz val="10"/>
        <color rgb="FF595959"/>
        <rFont val="Noto Sans CJK SC"/>
        <family val="2"/>
      </rPr>
      <t xml:space="preserve">負數為定植前。狀態可下拉選擇。</t>
    </r>
  </si>
  <si>
    <t xml:space="preserve">編號</t>
  </si>
  <si>
    <t xml:space="preserve">階段</t>
  </si>
  <si>
    <t xml:space="preserve">起始週次</t>
  </si>
  <si>
    <t xml:space="preserve">頻率</t>
  </si>
  <si>
    <t xml:space="preserve">工作項目</t>
  </si>
  <si>
    <t xml:space="preserve">具體做法與數值標準</t>
  </si>
  <si>
    <r>
      <rPr>
        <b val="true"/>
        <sz val="10"/>
        <color rgb="FFFFFFFF"/>
        <rFont val="Noto Sans CJK SC"/>
        <family val="2"/>
      </rPr>
      <t xml:space="preserve">完成判定</t>
    </r>
    <r>
      <rPr>
        <b val="true"/>
        <sz val="10"/>
        <color rgb="FFFFFFFF"/>
        <rFont val="Microsoft JhengHei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檢查點</t>
    </r>
  </si>
  <si>
    <t xml:space="preserve">紀錄表</t>
  </si>
  <si>
    <t xml:space="preserve">來源</t>
  </si>
  <si>
    <t xml:space="preserve">負責人</t>
  </si>
  <si>
    <t xml:space="preserve">狀態</t>
  </si>
  <si>
    <t xml:space="preserve">完成日期</t>
  </si>
  <si>
    <t xml:space="preserve">逾期提醒</t>
  </si>
  <si>
    <t xml:space="preserve">A01</t>
  </si>
  <si>
    <t xml:space="preserve">作前準備</t>
  </si>
  <si>
    <t xml:space="preserve">一次</t>
  </si>
  <si>
    <t xml:space="preserve">前作清園</t>
  </si>
  <si>
    <r>
      <rPr>
        <sz val="10"/>
        <color rgb="FF000000"/>
        <rFont val="Noto Sans CJK SC"/>
        <family val="2"/>
      </rPr>
      <t xml:space="preserve">前作植株、殘根、落果、舊黏紙全部清出溫室並裝袋帶離園區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清除棚內與周邊雜草。</t>
    </r>
  </si>
  <si>
    <t xml:space="preserve">地面無殘株落果</t>
  </si>
  <si>
    <r>
      <rPr>
        <sz val="10"/>
        <color rgb="FF000000"/>
        <rFont val="Noto Sans CJK SC"/>
        <family val="2"/>
      </rPr>
      <t xml:space="preserve">紀錄</t>
    </r>
    <r>
      <rPr>
        <sz val="10"/>
        <color rgb="FF000000"/>
        <rFont val="Microsoft JhengHei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田間作業</t>
    </r>
  </si>
  <si>
    <t xml:space="preserve">S8</t>
  </si>
  <si>
    <t xml:space="preserve">未開始</t>
  </si>
  <si>
    <t xml:space="preserve">A02</t>
  </si>
  <si>
    <t xml:space="preserve">每期作</t>
  </si>
  <si>
    <t xml:space="preserve">土壤採樣送驗</t>
  </si>
  <si>
    <r>
      <rPr>
        <sz val="10"/>
        <color rgb="FF000000"/>
        <rFont val="Noto Sans CJK SC"/>
        <family val="2"/>
      </rPr>
      <t xml:space="preserve">依送驗單位規定採樣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檢驗</t>
    </r>
    <r>
      <rPr>
        <sz val="10"/>
        <color rgb="FF000000"/>
        <rFont val="Microsoft JhengHei"/>
        <family val="0"/>
        <charset val="1"/>
      </rPr>
      <t xml:space="preserve">pH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EC</t>
    </r>
    <r>
      <rPr>
        <sz val="10"/>
        <color rgb="FF000000"/>
        <rFont val="Noto Sans CJK SC"/>
        <family val="2"/>
      </rPr>
      <t xml:space="preserve">、有機質、磷、鉀、鈣、鎂。</t>
    </r>
    <r>
      <rPr>
        <sz val="10"/>
        <color rgb="FF000000"/>
        <rFont val="Microsoft JhengHei"/>
        <family val="0"/>
        <charset val="1"/>
      </rPr>
      <t xml:space="preserve">TGAP</t>
    </r>
    <r>
      <rPr>
        <sz val="10"/>
        <color rgb="FF000000"/>
        <rFont val="Noto Sans CJK SC"/>
        <family val="2"/>
      </rPr>
      <t xml:space="preserve">標準</t>
    </r>
    <r>
      <rPr>
        <sz val="10"/>
        <color rgb="FF000000"/>
        <rFont val="Microsoft JhengHei"/>
        <family val="0"/>
        <charset val="1"/>
      </rPr>
      <t xml:space="preserve">:pH 5.6–7.0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EC</t>
    </r>
    <r>
      <rPr>
        <sz val="10"/>
        <color rgb="FF000000"/>
        <rFont val="Noto Sans CJK SC"/>
        <family val="2"/>
      </rPr>
      <t xml:space="preserve">不超過</t>
    </r>
    <r>
      <rPr>
        <sz val="10"/>
        <color rgb="FF000000"/>
        <rFont val="Microsoft JhengHei"/>
        <family val="0"/>
        <charset val="1"/>
      </rPr>
      <t xml:space="preserve">2.0 dS/m</t>
    </r>
    <r>
      <rPr>
        <sz val="10"/>
        <color rgb="FF000000"/>
        <rFont val="Noto Sans CJK SC"/>
        <family val="2"/>
      </rPr>
      <t xml:space="preserve">。</t>
    </r>
  </si>
  <si>
    <t xml:space="preserve">取得檢驗報告並存檔</t>
  </si>
  <si>
    <r>
      <rPr>
        <sz val="10"/>
        <color rgb="FF000000"/>
        <rFont val="Noto Sans CJK SC"/>
        <family val="2"/>
      </rPr>
      <t xml:space="preserve">紀錄</t>
    </r>
    <r>
      <rPr>
        <sz val="10"/>
        <color rgb="FF000000"/>
        <rFont val="Microsoft JhengHei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施肥灌溉</t>
    </r>
  </si>
  <si>
    <t xml:space="preserve">S2</t>
  </si>
  <si>
    <t xml:space="preserve">A03</t>
  </si>
  <si>
    <t xml:space="preserve">視需要</t>
  </si>
  <si>
    <r>
      <rPr>
        <b val="true"/>
        <sz val="10"/>
        <color rgb="FF000000"/>
        <rFont val="Noto Sans CJK SC"/>
        <family val="2"/>
      </rPr>
      <t xml:space="preserve">鹽化</t>
    </r>
    <r>
      <rPr>
        <b val="true"/>
        <sz val="10"/>
        <color rgb="FF000000"/>
        <rFont val="Microsoft JhengHei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連作土壤改良</t>
    </r>
  </si>
  <si>
    <r>
      <rPr>
        <sz val="10"/>
        <color rgb="FF000000"/>
        <rFont val="Noto Sans CJK SC"/>
        <family val="2"/>
      </rPr>
      <t xml:space="preserve">若</t>
    </r>
    <r>
      <rPr>
        <sz val="10"/>
        <color rgb="FF000000"/>
        <rFont val="Microsoft JhengHei"/>
        <family val="0"/>
        <charset val="1"/>
      </rPr>
      <t xml:space="preserve">EC</t>
    </r>
    <r>
      <rPr>
        <sz val="10"/>
        <color rgb="FF000000"/>
        <rFont val="Noto Sans CJK SC"/>
        <family val="2"/>
      </rPr>
      <t xml:space="preserve">偏高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休閒期施稻草約</t>
    </r>
    <r>
      <rPr>
        <sz val="10"/>
        <color rgb="FF000000"/>
        <rFont val="Microsoft JhengHe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公噸</t>
    </r>
    <r>
      <rPr>
        <sz val="10"/>
        <color rgb="FF000000"/>
        <rFont val="Microsoft JhengHe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分地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或低養分纖維質堆肥</t>
    </r>
    <r>
      <rPr>
        <sz val="10"/>
        <color rgb="FF000000"/>
        <rFont val="Microsoft JhengHei"/>
        <family val="0"/>
        <charset val="1"/>
      </rPr>
      <t xml:space="preserve">10–20</t>
    </r>
    <r>
      <rPr>
        <sz val="10"/>
        <color rgb="FF000000"/>
        <rFont val="Noto Sans CJK SC"/>
        <family val="2"/>
      </rPr>
      <t xml:space="preserve">公噸</t>
    </r>
    <r>
      <rPr>
        <sz val="10"/>
        <color rgb="FF000000"/>
        <rFont val="Microsoft JhengHe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公頃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需</t>
    </r>
    <r>
      <rPr>
        <sz val="10"/>
        <color rgb="FF000000"/>
        <rFont val="Microsoft JhengHe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個月以上分解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排水不良田區於地表下</t>
    </r>
    <r>
      <rPr>
        <sz val="10"/>
        <color rgb="FF000000"/>
        <rFont val="Microsoft JhengHei"/>
        <family val="0"/>
        <charset val="1"/>
      </rPr>
      <t xml:space="preserve">60–80 cm</t>
    </r>
    <r>
      <rPr>
        <sz val="10"/>
        <color rgb="FF000000"/>
        <rFont val="Noto Sans CJK SC"/>
        <family val="2"/>
      </rPr>
      <t xml:space="preserve">埋設暗渠排水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以大量清水淋洗降低鹽分。</t>
    </r>
  </si>
  <si>
    <r>
      <rPr>
        <sz val="10"/>
        <color rgb="FF000000"/>
        <rFont val="Noto Sans CJK SC"/>
        <family val="2"/>
      </rPr>
      <t xml:space="preserve">複驗</t>
    </r>
    <r>
      <rPr>
        <sz val="10"/>
        <color rgb="FF000000"/>
        <rFont val="Microsoft JhengHei"/>
        <family val="0"/>
        <charset val="1"/>
      </rPr>
      <t xml:space="preserve">EC</t>
    </r>
    <r>
      <rPr>
        <sz val="10"/>
        <color rgb="FF000000"/>
        <rFont val="Noto Sans CJK SC"/>
        <family val="2"/>
      </rPr>
      <t xml:space="preserve">回到標準內</t>
    </r>
  </si>
  <si>
    <r>
      <rPr>
        <sz val="10"/>
        <color rgb="FF000000"/>
        <rFont val="Microsoft JhengHei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S2</t>
    </r>
  </si>
  <si>
    <t xml:space="preserve">A04</t>
  </si>
  <si>
    <t xml:space="preserve">青枯病風險決策</t>
  </si>
  <si>
    <r>
      <rPr>
        <sz val="10"/>
        <color rgb="FF000000"/>
        <rFont val="Noto Sans CJK SC"/>
        <family val="2"/>
      </rPr>
      <t xml:space="preserve">田區曾發生青枯病→改用茄子根砧</t>
    </r>
    <r>
      <rPr>
        <sz val="10"/>
        <color rgb="FF000000"/>
        <rFont val="Microsoft JhengHei"/>
        <family val="0"/>
        <charset val="1"/>
      </rPr>
      <t xml:space="preserve">(EG203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EG219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EG190)</t>
    </r>
    <r>
      <rPr>
        <sz val="10"/>
        <color rgb="FF000000"/>
        <rFont val="Noto Sans CJK SC"/>
        <family val="2"/>
      </rPr>
      <t xml:space="preserve">嫁接苗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自根苗罹病率</t>
    </r>
    <r>
      <rPr>
        <sz val="10"/>
        <color rgb="FF000000"/>
        <rFont val="Microsoft JhengHei"/>
        <family val="0"/>
        <charset val="1"/>
      </rPr>
      <t xml:space="preserve">80–100%,</t>
    </r>
    <r>
      <rPr>
        <sz val="10"/>
        <color rgb="FF000000"/>
        <rFont val="Noto Sans CJK SC"/>
        <family val="2"/>
      </rPr>
      <t xml:space="preserve">嫁接苗</t>
    </r>
    <r>
      <rPr>
        <sz val="10"/>
        <color rgb="FF000000"/>
        <rFont val="Microsoft JhengHei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以下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或與水稻輪作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灌溉水不可流經病田。</t>
    </r>
  </si>
  <si>
    <t xml:space="preserve">決定用自根苗或嫁接苗並下訂</t>
  </si>
  <si>
    <r>
      <rPr>
        <sz val="10"/>
        <color rgb="FF000000"/>
        <rFont val="Microsoft JhengHei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S7</t>
    </r>
  </si>
  <si>
    <t xml:space="preserve">A05</t>
  </si>
  <si>
    <t xml:space="preserve">溫室設施檢修</t>
  </si>
  <si>
    <r>
      <rPr>
        <sz val="10"/>
        <color rgb="FF000000"/>
        <rFont val="Noto Sans CJK SC"/>
        <family val="2"/>
      </rPr>
      <t xml:space="preserve">防蟲網破洞修補、出入口檢查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側窗</t>
    </r>
    <r>
      <rPr>
        <sz val="10"/>
        <color rgb="FF000000"/>
        <rFont val="Microsoft JhengHe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捲揚、遮陰網、循環風扇試運轉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參考</t>
    </r>
    <r>
      <rPr>
        <sz val="10"/>
        <color rgb="FF000000"/>
        <rFont val="Microsoft JhengHei"/>
        <family val="0"/>
        <charset val="1"/>
      </rPr>
      <t xml:space="preserve">:9×30 m</t>
    </r>
    <r>
      <rPr>
        <sz val="10"/>
        <color rgb="FF000000"/>
        <rFont val="Noto Sans CJK SC"/>
        <family val="2"/>
      </rPr>
      <t xml:space="preserve">溫室配</t>
    </r>
    <r>
      <rPr>
        <sz val="10"/>
        <color rgb="FF000000"/>
        <rFont val="Microsoft JhengHei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台、每台≥</t>
    </r>
    <r>
      <rPr>
        <sz val="10"/>
        <color rgb="FF000000"/>
        <rFont val="Microsoft JhengHei"/>
        <family val="0"/>
        <charset val="1"/>
      </rPr>
      <t xml:space="preserve">1,600 cfm);</t>
    </r>
    <r>
      <rPr>
        <sz val="10"/>
        <color rgb="FF000000"/>
        <rFont val="Noto Sans CJK SC"/>
        <family val="2"/>
      </rPr>
      <t xml:space="preserve">滴灌管路試水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逐條檢查出水均勻、無堵塞漏水。</t>
    </r>
  </si>
  <si>
    <t xml:space="preserve">設施檢查表全數合格</t>
  </si>
  <si>
    <t xml:space="preserve">S13</t>
  </si>
  <si>
    <t xml:space="preserve">A06</t>
  </si>
  <si>
    <t xml:space="preserve">向育苗場訂苗</t>
  </si>
  <si>
    <r>
      <rPr>
        <sz val="10"/>
        <color rgb="FF000000"/>
        <rFont val="Noto Sans CJK SC"/>
        <family val="2"/>
      </rPr>
      <t xml:space="preserve">最晚於定植前</t>
    </r>
    <r>
      <rPr>
        <sz val="10"/>
        <color rgb="FF000000"/>
        <rFont val="Microsoft JhengHei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週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參數表</t>
    </r>
    <r>
      <rPr>
        <sz val="10"/>
        <color rgb="FF000000"/>
        <rFont val="Microsoft JhengHei"/>
        <family val="0"/>
        <charset val="1"/>
      </rPr>
      <t xml:space="preserve">B38)</t>
    </r>
    <r>
      <rPr>
        <sz val="10"/>
        <color rgb="FF000000"/>
        <rFont val="Noto Sans CJK SC"/>
        <family val="2"/>
      </rPr>
      <t xml:space="preserve">下訂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數量見</t>
    </r>
    <r>
      <rPr>
        <sz val="10"/>
        <color rgb="FF000000"/>
        <rFont val="Microsoft JhengHei"/>
        <family val="0"/>
        <charset val="1"/>
      </rPr>
      <t xml:space="preserve">B37(</t>
    </r>
    <r>
      <rPr>
        <sz val="10"/>
        <color rgb="FF000000"/>
        <rFont val="Noto Sans CJK SC"/>
        <family val="2"/>
      </rPr>
      <t xml:space="preserve">含備苗</t>
    </r>
    <r>
      <rPr>
        <sz val="10"/>
        <color rgb="FF000000"/>
        <rFont val="Microsoft JhengHei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。訂單寫明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品種、苗齡四本葉</t>
    </r>
    <r>
      <rPr>
        <sz val="10"/>
        <color rgb="FF000000"/>
        <rFont val="Microsoft JhengHei"/>
        <family val="0"/>
        <charset val="1"/>
      </rPr>
      <t xml:space="preserve">(4–6</t>
    </r>
    <r>
      <rPr>
        <sz val="10"/>
        <color rgb="FF000000"/>
        <rFont val="Noto Sans CJK SC"/>
        <family val="2"/>
      </rPr>
      <t xml:space="preserve">葉</t>
    </r>
    <r>
      <rPr>
        <sz val="10"/>
        <color rgb="FF000000"/>
        <rFont val="Microsoft JhengHei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、株高約</t>
    </r>
    <r>
      <rPr>
        <sz val="10"/>
        <color rgb="FF000000"/>
        <rFont val="Microsoft JhengHei"/>
        <family val="0"/>
        <charset val="1"/>
      </rPr>
      <t xml:space="preserve">10–15 cm</t>
    </r>
    <r>
      <rPr>
        <sz val="10"/>
        <color rgb="FF000000"/>
        <rFont val="Noto Sans CJK SC"/>
        <family val="2"/>
      </rPr>
      <t xml:space="preserve">、秋冬作</t>
    </r>
    <r>
      <rPr>
        <sz val="10"/>
        <color rgb="FF000000"/>
        <rFont val="Microsoft JhengHei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格穴盤苗、育苗期以</t>
    </r>
    <r>
      <rPr>
        <sz val="10"/>
        <color rgb="FF000000"/>
        <rFont val="Microsoft JhengHei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目網隔離銀葉粉蝨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青枯病田須指定茄砧</t>
    </r>
    <r>
      <rPr>
        <sz val="10"/>
        <color rgb="FF000000"/>
        <rFont val="Microsoft JhengHei"/>
        <family val="0"/>
        <charset val="1"/>
      </rPr>
      <t xml:space="preserve">(EG203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EG219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EG190)</t>
    </r>
    <r>
      <rPr>
        <sz val="10"/>
        <color rgb="FF000000"/>
        <rFont val="Noto Sans CJK SC"/>
        <family val="2"/>
      </rPr>
      <t xml:space="preserve">嫁接苗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依</t>
    </r>
    <r>
      <rPr>
        <sz val="10"/>
        <color rgb="FF000000"/>
        <rFont val="Microsoft JhengHei"/>
        <family val="0"/>
        <charset val="1"/>
      </rPr>
      <t xml:space="preserve">A04</t>
    </r>
    <r>
      <rPr>
        <sz val="10"/>
        <color rgb="FF000000"/>
        <rFont val="Noto Sans CJK SC"/>
        <family val="2"/>
      </rPr>
      <t xml:space="preserve">決策</t>
    </r>
    <r>
      <rPr>
        <sz val="10"/>
        <color rgb="FF000000"/>
        <rFont val="Microsoft JhengHei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。下訂時確認到苗日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以及育苗場是否有現成苗。</t>
    </r>
  </si>
  <si>
    <r>
      <rPr>
        <sz val="10"/>
        <color rgb="FF000000"/>
        <rFont val="Noto Sans CJK SC"/>
        <family val="2"/>
      </rPr>
      <t xml:space="preserve">取得育苗場確認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品種、數量、規格、到苗日</t>
    </r>
    <r>
      <rPr>
        <sz val="10"/>
        <color rgb="FF000000"/>
        <rFont val="Microsoft JhengHei"/>
        <family val="0"/>
        <charset val="1"/>
      </rPr>
      <t xml:space="preserve">)</t>
    </r>
  </si>
  <si>
    <r>
      <rPr>
        <sz val="10"/>
        <color rgb="FF000000"/>
        <rFont val="Microsoft JhengHei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S7</t>
    </r>
  </si>
  <si>
    <t xml:space="preserve">A07</t>
  </si>
  <si>
    <t xml:space="preserve">基肥施用與整地</t>
  </si>
  <si>
    <r>
      <rPr>
        <sz val="10"/>
        <color rgb="FF000000"/>
        <rFont val="Noto Sans CJK SC"/>
        <family val="2"/>
      </rPr>
      <t xml:space="preserve">依參數表</t>
    </r>
    <r>
      <rPr>
        <sz val="10"/>
        <color rgb="FF000000"/>
        <rFont val="Microsoft JhengHei"/>
        <family val="0"/>
        <charset val="1"/>
      </rPr>
      <t xml:space="preserve">B59–B63</t>
    </r>
    <r>
      <rPr>
        <sz val="10"/>
        <color rgb="FF000000"/>
        <rFont val="Noto Sans CJK SC"/>
        <family val="2"/>
      </rPr>
      <t xml:space="preserve">施用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堆肥、硼砂、全量磷肥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氮與鉀肥</t>
    </r>
    <r>
      <rPr>
        <sz val="10"/>
        <color rgb="FF000000"/>
        <rFont val="Microsoft JhengHei"/>
        <family val="0"/>
        <charset val="1"/>
      </rPr>
      <t xml:space="preserve">15–20%;</t>
    </r>
    <r>
      <rPr>
        <sz val="10"/>
        <color rgb="FF000000"/>
        <rFont val="Noto Sans CJK SC"/>
        <family val="2"/>
      </rPr>
      <t xml:space="preserve">均勻撒施後翻耕。</t>
    </r>
  </si>
  <si>
    <t xml:space="preserve">施肥量與紀錄一致</t>
  </si>
  <si>
    <r>
      <rPr>
        <sz val="10"/>
        <color rgb="FF000000"/>
        <rFont val="Microsoft JhengHei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S2</t>
    </r>
  </si>
  <si>
    <t xml:space="preserve">A08</t>
  </si>
  <si>
    <t xml:space="preserve">作畦、鋪滴灌</t>
  </si>
  <si>
    <r>
      <rPr>
        <sz val="10"/>
        <color rgb="FF000000"/>
        <rFont val="Noto Sans CJK SC"/>
        <family val="2"/>
      </rPr>
      <t xml:space="preserve">依參數表畦距、行數作畦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鋪設滴灌帶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寬畦需</t>
    </r>
    <r>
      <rPr>
        <sz val="10"/>
        <color rgb="FF000000"/>
        <rFont val="Microsoft JhengHei"/>
        <family val="0"/>
        <charset val="1"/>
      </rPr>
      <t xml:space="preserve">3–4</t>
    </r>
    <r>
      <rPr>
        <sz val="10"/>
        <color rgb="FF000000"/>
        <rFont val="Noto Sans CJK SC"/>
        <family val="2"/>
      </rPr>
      <t xml:space="preserve">條滴帶才能整畦濕潤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通水確認畦面濕潤均勻。</t>
    </r>
  </si>
  <si>
    <t xml:space="preserve">每畦濕潤帶連續無乾點</t>
  </si>
  <si>
    <t xml:space="preserve">A09</t>
  </si>
  <si>
    <r>
      <rPr>
        <b val="true"/>
        <sz val="10"/>
        <color rgb="FF000000"/>
        <rFont val="Noto Sans CJK SC"/>
        <family val="2"/>
      </rPr>
      <t xml:space="preserve">架設吊線</t>
    </r>
    <r>
      <rPr>
        <b val="true"/>
        <sz val="10"/>
        <color rgb="FF000000"/>
        <rFont val="Microsoft JhengHei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支架</t>
    </r>
  </si>
  <si>
    <r>
      <rPr>
        <sz val="10"/>
        <color rgb="FF000000"/>
        <rFont val="Noto Sans CJK SC"/>
        <family val="2"/>
      </rPr>
      <t xml:space="preserve">吊線鋼線高度至少</t>
    </r>
    <r>
      <rPr>
        <sz val="10"/>
        <color rgb="FF000000"/>
        <rFont val="Microsoft JhengHei"/>
        <family val="0"/>
        <charset val="1"/>
      </rPr>
      <t xml:space="preserve">2.4 m(8 ft)</t>
    </r>
    <r>
      <rPr>
        <sz val="10"/>
        <color rgb="FF000000"/>
        <rFont val="Noto Sans CJK SC"/>
        <family val="2"/>
      </rPr>
      <t xml:space="preserve">以上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每株預留一條尼龍吊繩或支柱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雙幹則每幹一條</t>
    </r>
    <r>
      <rPr>
        <sz val="10"/>
        <color rgb="FF000000"/>
        <rFont val="Microsoft JhengHei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</si>
  <si>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Noto Sans CJK SC"/>
        <family val="2"/>
      </rPr>
      <t xml:space="preserve">吊繩數</t>
    </r>
    <r>
      <rPr>
        <sz val="10"/>
        <color rgb="FF000000"/>
        <rFont val="Microsoft JhengHei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總幹數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參數表</t>
    </r>
    <r>
      <rPr>
        <sz val="10"/>
        <color rgb="FF000000"/>
        <rFont val="Microsoft JhengHei"/>
        <family val="0"/>
        <charset val="1"/>
      </rPr>
      <t xml:space="preserve">B35)</t>
    </r>
  </si>
  <si>
    <t xml:space="preserve">A10</t>
  </si>
  <si>
    <t xml:space="preserve">懸掛監測黏紙</t>
  </si>
  <si>
    <r>
      <rPr>
        <sz val="10"/>
        <color rgb="FF000000"/>
        <rFont val="Noto Sans CJK SC"/>
        <family val="2"/>
      </rPr>
      <t xml:space="preserve">黃色黏紙數量見參數表</t>
    </r>
    <r>
      <rPr>
        <sz val="10"/>
        <color rgb="FF000000"/>
        <rFont val="Microsoft JhengHei"/>
        <family val="0"/>
        <charset val="1"/>
      </rPr>
      <t xml:space="preserve">B45,</t>
    </r>
    <r>
      <rPr>
        <sz val="10"/>
        <color rgb="FF000000"/>
        <rFont val="Noto Sans CJK SC"/>
        <family val="2"/>
      </rPr>
      <t xml:space="preserve">放在通風口、門口與周邊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高度與作物冠層齊並隨植株升高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另掛藍色黏紙監測薊馬。</t>
    </r>
  </si>
  <si>
    <t xml:space="preserve">黏紙已編號並標示位置圖</t>
  </si>
  <si>
    <r>
      <rPr>
        <sz val="10"/>
        <color rgb="FF000000"/>
        <rFont val="Noto Sans CJK SC"/>
        <family val="2"/>
      </rPr>
      <t xml:space="preserve">紀錄</t>
    </r>
    <r>
      <rPr>
        <sz val="10"/>
        <color rgb="FF000000"/>
        <rFont val="Microsoft JhengHei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病蟲害防治</t>
    </r>
  </si>
  <si>
    <r>
      <rPr>
        <sz val="10"/>
        <color rgb="FF000000"/>
        <rFont val="Microsoft JhengHei"/>
        <family val="0"/>
        <charset val="1"/>
      </rPr>
      <t xml:space="preserve">S19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S8</t>
    </r>
  </si>
  <si>
    <t xml:space="preserve">A11</t>
  </si>
  <si>
    <t xml:space="preserve">定植緩苗</t>
  </si>
  <si>
    <t xml:space="preserve">到苗當天</t>
  </si>
  <si>
    <t xml:space="preserve">到苗驗收</t>
  </si>
  <si>
    <r>
      <rPr>
        <sz val="10"/>
        <color rgb="FF000000"/>
        <rFont val="Noto Sans CJK SC"/>
        <family val="2"/>
      </rPr>
      <t xml:space="preserve">逐盤檢查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苗齡四本葉</t>
    </r>
    <r>
      <rPr>
        <sz val="10"/>
        <color rgb="FF000000"/>
        <rFont val="Microsoft JhengHei"/>
        <family val="0"/>
        <charset val="1"/>
      </rPr>
      <t xml:space="preserve">(4–6</t>
    </r>
    <r>
      <rPr>
        <sz val="10"/>
        <color rgb="FF000000"/>
        <rFont val="Noto Sans CJK SC"/>
        <family val="2"/>
      </rPr>
      <t xml:space="preserve">葉</t>
    </r>
    <r>
      <rPr>
        <sz val="10"/>
        <color rgb="FF000000"/>
        <rFont val="Microsoft JhengHei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、株高約</t>
    </r>
    <r>
      <rPr>
        <sz val="10"/>
        <color rgb="FF000000"/>
        <rFont val="Microsoft JhengHei"/>
        <family val="0"/>
        <charset val="1"/>
      </rPr>
      <t xml:space="preserve">10–15 cm</t>
    </r>
    <r>
      <rPr>
        <sz val="10"/>
        <color rgb="FF000000"/>
        <rFont val="Noto Sans CJK SC"/>
        <family val="2"/>
      </rPr>
      <t xml:space="preserve">、根團完整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剔除捲葉、黃化、矮化苗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不合格數量當場與育苗場確認補苗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記錄育苗場名稱、品種、批號、數量。</t>
    </r>
  </si>
  <si>
    <t xml:space="preserve">不合格苗剔除並記錄</t>
  </si>
  <si>
    <r>
      <rPr>
        <sz val="10"/>
        <color rgb="FF000000"/>
        <rFont val="Microsoft JhengHei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S12</t>
    </r>
  </si>
  <si>
    <t xml:space="preserve">B01</t>
  </si>
  <si>
    <t xml:space="preserve">定植</t>
  </si>
  <si>
    <r>
      <rPr>
        <sz val="10"/>
        <color rgb="FF000000"/>
        <rFont val="Noto Sans CJK SC"/>
        <family val="2"/>
      </rPr>
      <t xml:space="preserve">依株距定植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定植前後充分灌水。可控溫溫室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定植後</t>
    </r>
    <r>
      <rPr>
        <sz val="10"/>
        <color rgb="FF000000"/>
        <rFont val="Microsoft JhengHei"/>
        <family val="0"/>
        <charset val="1"/>
      </rPr>
      <t xml:space="preserve">24°C</t>
    </r>
    <r>
      <rPr>
        <sz val="10"/>
        <color rgb="FF000000"/>
        <rFont val="Noto Sans CJK SC"/>
        <family val="2"/>
      </rPr>
      <t xml:space="preserve">維持</t>
    </r>
    <r>
      <rPr>
        <sz val="10"/>
        <color rgb="FF000000"/>
        <rFont val="Microsoft JhengHei"/>
        <family val="0"/>
        <charset val="1"/>
      </rPr>
      <t xml:space="preserve">1–2</t>
    </r>
    <r>
      <rPr>
        <sz val="10"/>
        <color rgb="FF000000"/>
        <rFont val="Noto Sans CJK SC"/>
        <family val="2"/>
      </rPr>
      <t xml:space="preserve">天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再每天降約</t>
    </r>
    <r>
      <rPr>
        <sz val="10"/>
        <color rgb="FF000000"/>
        <rFont val="Microsoft JhengHei"/>
        <family val="0"/>
        <charset val="1"/>
      </rPr>
      <t xml:space="preserve">1°C</t>
    </r>
    <r>
      <rPr>
        <sz val="10"/>
        <color rgb="FF000000"/>
        <rFont val="Noto Sans CJK SC"/>
        <family val="2"/>
      </rPr>
      <t xml:space="preserve">至</t>
    </r>
    <r>
      <rPr>
        <sz val="10"/>
        <color rgb="FF000000"/>
        <rFont val="Microsoft JhengHei"/>
        <family val="0"/>
        <charset val="1"/>
      </rPr>
      <t xml:space="preserve">19°C</t>
    </r>
    <r>
      <rPr>
        <sz val="10"/>
        <color rgb="FF000000"/>
        <rFont val="Noto Sans CJK SC"/>
        <family val="2"/>
      </rPr>
      <t xml:space="preserve">。嫁接苗嫁接口保持在土面以上。</t>
    </r>
  </si>
  <si>
    <r>
      <rPr>
        <sz val="10"/>
        <color rgb="FF000000"/>
        <rFont val="Noto Sans CJK SC"/>
        <family val="2"/>
      </rPr>
      <t xml:space="preserve">定植株數</t>
    </r>
    <r>
      <rPr>
        <sz val="10"/>
        <color rgb="FF000000"/>
        <rFont val="Microsoft JhengHei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參數表</t>
    </r>
    <r>
      <rPr>
        <sz val="10"/>
        <color rgb="FF000000"/>
        <rFont val="Microsoft JhengHei"/>
        <family val="0"/>
        <charset val="1"/>
      </rPr>
      <t xml:space="preserve">B34</t>
    </r>
  </si>
  <si>
    <t xml:space="preserve">S17</t>
  </si>
  <si>
    <t xml:space="preserve">B02</t>
  </si>
  <si>
    <t xml:space="preserve">每日</t>
  </si>
  <si>
    <t xml:space="preserve">緩苗期灌溉</t>
  </si>
  <si>
    <r>
      <rPr>
        <sz val="10"/>
        <color rgb="FF000000"/>
        <rFont val="Noto Sans CJK SC"/>
        <family val="2"/>
      </rPr>
      <t xml:space="preserve">參考農業部土耕滴灌試驗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生長初期每日滴灌</t>
    </r>
    <r>
      <rPr>
        <sz val="10"/>
        <color rgb="FF000000"/>
        <rFont val="Microsoft JhengHei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次、每次</t>
    </r>
    <r>
      <rPr>
        <sz val="10"/>
        <color rgb="FF000000"/>
        <rFont val="Microsoft JhengHei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分鐘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依滴帶出水量與土壤濕度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手握成團不滴水</t>
    </r>
    <r>
      <rPr>
        <sz val="10"/>
        <color rgb="FF000000"/>
        <rFont val="Microsoft JhengHei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調整。</t>
    </r>
  </si>
  <si>
    <t xml:space="preserve">無萎凋、土壤不積水</t>
  </si>
  <si>
    <r>
      <rPr>
        <sz val="10"/>
        <color rgb="FF000000"/>
        <rFont val="Microsoft JhengHei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S13</t>
    </r>
  </si>
  <si>
    <t xml:space="preserve">B03</t>
  </si>
  <si>
    <t xml:space="preserve">補植</t>
  </si>
  <si>
    <r>
      <rPr>
        <sz val="10"/>
        <color rgb="FF000000"/>
        <rFont val="Noto Sans CJK SC"/>
        <family val="2"/>
      </rPr>
      <t xml:space="preserve">檢查缺株、病株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捲葉、萎凋</t>
    </r>
    <r>
      <rPr>
        <sz val="10"/>
        <color rgb="FF000000"/>
        <rFont val="Microsoft JhengHei"/>
        <family val="0"/>
        <charset val="1"/>
      </rPr>
      <t xml:space="preserve">),</t>
    </r>
    <r>
      <rPr>
        <sz val="10"/>
        <color rgb="FF000000"/>
        <rFont val="Noto Sans CJK SC"/>
        <family val="2"/>
      </rPr>
      <t xml:space="preserve">以備苗補植。</t>
    </r>
  </si>
  <si>
    <t xml:space="preserve">全區無缺株</t>
  </si>
  <si>
    <t xml:space="preserve">—</t>
  </si>
  <si>
    <t xml:space="preserve">B04</t>
  </si>
  <si>
    <t xml:space="preserve">每週</t>
  </si>
  <si>
    <t xml:space="preserve">誘引上架</t>
  </si>
  <si>
    <r>
      <rPr>
        <sz val="10"/>
        <color rgb="FF000000"/>
        <rFont val="Noto Sans CJK SC"/>
        <family val="2"/>
      </rPr>
      <t xml:space="preserve">沿主莖約每</t>
    </r>
    <r>
      <rPr>
        <sz val="10"/>
        <color rgb="FF000000"/>
        <rFont val="Microsoft JhengHei"/>
        <family val="0"/>
        <charset val="1"/>
      </rPr>
      <t xml:space="preserve">25 cm(10</t>
    </r>
    <r>
      <rPr>
        <sz val="10"/>
        <color rgb="FF000000"/>
        <rFont val="Noto Sans CJK SC"/>
        <family val="2"/>
      </rPr>
      <t xml:space="preserve">吋</t>
    </r>
    <r>
      <rPr>
        <sz val="10"/>
        <color rgb="FF000000"/>
        <rFont val="Microsoft JhengHei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夾一個誘引夾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夾在兩片葉之間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不要夾在花序下方。</t>
    </r>
  </si>
  <si>
    <t xml:space="preserve">生長點都在吊繩上</t>
  </si>
  <si>
    <r>
      <rPr>
        <sz val="10"/>
        <color rgb="FF000000"/>
        <rFont val="Microsoft JhengHei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S14</t>
    </r>
  </si>
  <si>
    <t xml:space="preserve">B05</t>
  </si>
  <si>
    <t xml:space="preserve">營養生長</t>
  </si>
  <si>
    <t xml:space="preserve">雙幹整枝定幹</t>
  </si>
  <si>
    <r>
      <rPr>
        <sz val="10"/>
        <color rgb="FF000000"/>
        <rFont val="Noto Sans CJK SC"/>
        <family val="2"/>
      </rPr>
      <t xml:space="preserve">保留主幹及第一花序下方的側枝作為第二幹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其餘側芽全部摘除。</t>
    </r>
  </si>
  <si>
    <r>
      <rPr>
        <sz val="10"/>
        <color rgb="FF000000"/>
        <rFont val="Noto Sans CJK SC"/>
        <family val="2"/>
      </rPr>
      <t xml:space="preserve">每株</t>
    </r>
    <r>
      <rPr>
        <sz val="10"/>
        <color rgb="FF000000"/>
        <rFont val="Microsoft JhengHei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幹、無多餘側枝</t>
    </r>
  </si>
  <si>
    <t xml:space="preserve">C01</t>
  </si>
  <si>
    <t xml:space="preserve">摘側芽</t>
  </si>
  <si>
    <r>
      <rPr>
        <sz val="10"/>
        <color rgb="FF000000"/>
        <rFont val="Noto Sans CJK SC"/>
        <family val="2"/>
      </rPr>
      <t xml:space="preserve">至少每週一次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側芽長到</t>
    </r>
    <r>
      <rPr>
        <sz val="10"/>
        <color rgb="FF000000"/>
        <rFont val="Microsoft JhengHei"/>
        <family val="0"/>
        <charset val="1"/>
      </rPr>
      <t xml:space="preserve">5–7.5 cm(2–3</t>
    </r>
    <r>
      <rPr>
        <sz val="10"/>
        <color rgb="FF000000"/>
        <rFont val="Noto Sans CJK SC"/>
        <family val="2"/>
      </rPr>
      <t xml:space="preserve">吋</t>
    </r>
    <r>
      <rPr>
        <sz val="10"/>
        <color rgb="FF000000"/>
        <rFont val="Microsoft JhengHei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前摘除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乾脆折斷避免撕裂傷口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宜在晴天乾燥時段進行。</t>
    </r>
  </si>
  <si>
    <r>
      <rPr>
        <sz val="10"/>
        <color rgb="FF000000"/>
        <rFont val="Noto Sans CJK SC"/>
        <family val="2"/>
      </rPr>
      <t xml:space="preserve">巡查無超過</t>
    </r>
    <r>
      <rPr>
        <sz val="10"/>
        <color rgb="FF000000"/>
        <rFont val="Microsoft JhengHei"/>
        <family val="0"/>
        <charset val="1"/>
      </rPr>
      <t xml:space="preserve">7.5 cm</t>
    </r>
    <r>
      <rPr>
        <sz val="10"/>
        <color rgb="FF000000"/>
        <rFont val="Noto Sans CJK SC"/>
        <family val="2"/>
      </rPr>
      <t xml:space="preserve">側芽</t>
    </r>
  </si>
  <si>
    <r>
      <rPr>
        <sz val="10"/>
        <color rgb="FF000000"/>
        <rFont val="Microsoft JhengHei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S13</t>
    </r>
  </si>
  <si>
    <t xml:space="preserve">C02</t>
  </si>
  <si>
    <t xml:space="preserve">開花著果</t>
  </si>
  <si>
    <r>
      <rPr>
        <sz val="10"/>
        <color rgb="FF000000"/>
        <rFont val="Noto Sans CJK SC"/>
        <family val="2"/>
      </rPr>
      <t xml:space="preserve">每</t>
    </r>
    <r>
      <rPr>
        <sz val="10"/>
        <color rgb="FF000000"/>
        <rFont val="Microsoft JhengHei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天</t>
    </r>
  </si>
  <si>
    <r>
      <rPr>
        <b val="true"/>
        <sz val="10"/>
        <color rgb="FF000000"/>
        <rFont val="Noto Sans CJK SC"/>
        <family val="2"/>
      </rPr>
      <t xml:space="preserve">熊蜂授粉</t>
    </r>
    <r>
      <rPr>
        <b val="true"/>
        <sz val="10"/>
        <color rgb="FF000000"/>
        <rFont val="Microsoft JhengHei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方案一</t>
    </r>
    <r>
      <rPr>
        <b val="true"/>
        <sz val="10"/>
        <color rgb="FF000000"/>
        <rFont val="Microsoft JhengHei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</si>
  <si>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每分地放</t>
    </r>
    <r>
      <rPr>
        <sz val="10"/>
        <color rgb="FF000000"/>
        <rFont val="Microsoft JhengHei"/>
        <family val="0"/>
        <charset val="1"/>
      </rPr>
      <t xml:space="preserve">1–2</t>
    </r>
    <r>
      <rPr>
        <sz val="10"/>
        <color rgb="FF000000"/>
        <rFont val="Noto Sans CJK SC"/>
        <family val="2"/>
      </rPr>
      <t xml:space="preserve">箱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參數表</t>
    </r>
    <r>
      <rPr>
        <sz val="10"/>
        <color rgb="FF000000"/>
        <rFont val="Microsoft JhengHei"/>
        <family val="0"/>
        <charset val="1"/>
      </rPr>
      <t xml:space="preserve">B46–B47);</t>
    </r>
    <r>
      <rPr>
        <sz val="10"/>
        <color rgb="FF000000"/>
        <rFont val="Noto Sans CJK SC"/>
        <family val="2"/>
      </rPr>
      <t xml:space="preserve">蜂箱水平放置、顯眼、防凝結水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炎熱時遮陰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熊蜂活動溫度</t>
    </r>
    <r>
      <rPr>
        <sz val="10"/>
        <color rgb="FF000000"/>
        <rFont val="Microsoft JhengHei"/>
        <family val="0"/>
        <charset val="1"/>
      </rPr>
      <t xml:space="preserve">8–28°C(</t>
    </r>
    <r>
      <rPr>
        <sz val="10"/>
        <color rgb="FF000000"/>
        <rFont val="Noto Sans CJK SC"/>
        <family val="2"/>
      </rPr>
      <t xml:space="preserve">最高約</t>
    </r>
    <r>
      <rPr>
        <sz val="10"/>
        <color rgb="FF000000"/>
        <rFont val="Microsoft JhengHei"/>
        <family val="0"/>
        <charset val="1"/>
      </rPr>
      <t xml:space="preserve">32°C)</t>
    </r>
    <r>
      <rPr>
        <sz val="10"/>
        <color rgb="FF000000"/>
        <rFont val="Noto Sans CJK SC"/>
        <family val="2"/>
      </rPr>
      <t xml:space="preserve">。每</t>
    </r>
    <r>
      <rPr>
        <sz val="10"/>
        <color rgb="FF000000"/>
        <rFont val="Microsoft JhengHei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天在不同位置採</t>
    </r>
    <r>
      <rPr>
        <sz val="10"/>
        <color rgb="FF000000"/>
        <rFont val="Microsoft JhengHei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朵已閉合的花檢查咬痕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應全部有咬痕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每朵咬痕降到只剩</t>
    </r>
    <r>
      <rPr>
        <sz val="10"/>
        <color rgb="FF000000"/>
        <rFont val="Microsoft JhengHei"/>
        <family val="0"/>
        <charset val="1"/>
      </rPr>
      <t xml:space="preserve">1–2</t>
    </r>
    <r>
      <rPr>
        <sz val="10"/>
        <color rgb="FF000000"/>
        <rFont val="Noto Sans CJK SC"/>
        <family val="2"/>
      </rPr>
      <t xml:space="preserve">個時換新箱。</t>
    </r>
  </si>
  <si>
    <r>
      <rPr>
        <sz val="10"/>
        <color rgb="FF000000"/>
        <rFont val="Microsoft JhengHei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朵閉合花咬痕率</t>
    </r>
    <r>
      <rPr>
        <sz val="10"/>
        <color rgb="FF000000"/>
        <rFont val="Microsoft JhengHei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</si>
  <si>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紀錄</t>
    </r>
    <r>
      <rPr>
        <sz val="10"/>
        <color rgb="FF000000"/>
        <rFont val="Microsoft JhengHei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溫濕度</t>
    </r>
  </si>
  <si>
    <r>
      <rPr>
        <sz val="10"/>
        <color rgb="FF000000"/>
        <rFont val="Microsoft JhengHei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S18</t>
    </r>
  </si>
  <si>
    <t xml:space="preserve">C03</t>
  </si>
  <si>
    <r>
      <rPr>
        <sz val="10"/>
        <color rgb="FF000000"/>
        <rFont val="Noto Sans CJK SC"/>
        <family val="2"/>
      </rPr>
      <t xml:space="preserve">冬</t>
    </r>
    <r>
      <rPr>
        <sz val="10"/>
        <color rgb="FF000000"/>
        <rFont val="Microsoft JhengHei"/>
        <family val="0"/>
        <charset val="1"/>
      </rPr>
      <t xml:space="preserve">6–7</t>
    </r>
    <r>
      <rPr>
        <sz val="10"/>
        <color rgb="FF000000"/>
        <rFont val="Noto Sans CJK SC"/>
        <family val="2"/>
      </rPr>
      <t xml:space="preserve">天</t>
    </r>
    <r>
      <rPr>
        <sz val="10"/>
        <color rgb="FF000000"/>
        <rFont val="Microsoft JhengHe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夏</t>
    </r>
    <r>
      <rPr>
        <sz val="10"/>
        <color rgb="FF000000"/>
        <rFont val="Microsoft JhengHei"/>
        <family val="0"/>
        <charset val="1"/>
      </rPr>
      <t xml:space="preserve">4–5</t>
    </r>
    <r>
      <rPr>
        <sz val="10"/>
        <color rgb="FF000000"/>
        <rFont val="Noto Sans CJK SC"/>
        <family val="2"/>
      </rPr>
      <t xml:space="preserve">天</t>
    </r>
  </si>
  <si>
    <r>
      <rPr>
        <b val="true"/>
        <sz val="10"/>
        <color rgb="FF000000"/>
        <rFont val="Noto Sans CJK SC"/>
        <family val="2"/>
      </rPr>
      <t xml:space="preserve">生長調節劑著果</t>
    </r>
    <r>
      <rPr>
        <b val="true"/>
        <sz val="10"/>
        <color rgb="FF000000"/>
        <rFont val="Microsoft JhengHei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方案二</t>
    </r>
    <r>
      <rPr>
        <b val="true"/>
        <sz val="10"/>
        <color rgb="FF000000"/>
        <rFont val="Microsoft JhengHei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</si>
  <si>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花序有</t>
    </r>
    <r>
      <rPr>
        <sz val="10"/>
        <color rgb="FF000000"/>
        <rFont val="Microsoft JhengHei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朵花盛開時噴花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番茄多旺 </t>
    </r>
    <r>
      <rPr>
        <sz val="10"/>
        <color rgb="FF000000"/>
        <rFont val="Microsoft JhengHei"/>
        <family val="0"/>
        <charset val="1"/>
      </rPr>
      <t xml:space="preserve">20°C</t>
    </r>
    <r>
      <rPr>
        <sz val="10"/>
        <color rgb="FF000000"/>
        <rFont val="Noto Sans CJK SC"/>
        <family val="2"/>
      </rPr>
      <t xml:space="preserve">用</t>
    </r>
    <r>
      <rPr>
        <sz val="10"/>
        <color rgb="FF000000"/>
        <rFont val="Microsoft JhengHei"/>
        <family val="0"/>
        <charset val="1"/>
      </rPr>
      <t xml:space="preserve">100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Microsoft JhengHei"/>
        <family val="0"/>
        <charset val="1"/>
      </rPr>
      <t xml:space="preserve">30°C</t>
    </r>
    <r>
      <rPr>
        <sz val="10"/>
        <color rgb="FF000000"/>
        <rFont val="Noto Sans CJK SC"/>
        <family val="2"/>
      </rPr>
      <t xml:space="preserve">用</t>
    </r>
    <r>
      <rPr>
        <sz val="10"/>
        <color rgb="FF000000"/>
        <rFont val="Microsoft JhengHei"/>
        <family val="0"/>
        <charset val="1"/>
      </rPr>
      <t xml:space="preserve">250</t>
    </r>
    <r>
      <rPr>
        <sz val="10"/>
        <color rgb="FF000000"/>
        <rFont val="Noto Sans CJK SC"/>
        <family val="2"/>
      </rPr>
      <t xml:space="preserve">倍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或多結果朗 </t>
    </r>
    <r>
      <rPr>
        <sz val="10"/>
        <color rgb="FF000000"/>
        <rFont val="Microsoft JhengHei"/>
        <family val="0"/>
        <charset val="1"/>
      </rPr>
      <t xml:space="preserve">20°C</t>
    </r>
    <r>
      <rPr>
        <sz val="10"/>
        <color rgb="FF000000"/>
        <rFont val="Noto Sans CJK SC"/>
        <family val="2"/>
      </rPr>
      <t xml:space="preserve">用</t>
    </r>
    <r>
      <rPr>
        <sz val="10"/>
        <color rgb="FF000000"/>
        <rFont val="Microsoft JhengHei"/>
        <family val="0"/>
        <charset val="1"/>
      </rPr>
      <t xml:space="preserve">800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Microsoft JhengHei"/>
        <family val="0"/>
        <charset val="1"/>
      </rPr>
      <t xml:space="preserve">30°C</t>
    </r>
    <r>
      <rPr>
        <sz val="10"/>
        <color rgb="FF000000"/>
        <rFont val="Noto Sans CJK SC"/>
        <family val="2"/>
      </rPr>
      <t xml:space="preserve">用</t>
    </r>
    <r>
      <rPr>
        <sz val="10"/>
        <color rgb="FF000000"/>
        <rFont val="Microsoft JhengHei"/>
        <family val="0"/>
        <charset val="1"/>
      </rPr>
      <t xml:space="preserve">1200</t>
    </r>
    <r>
      <rPr>
        <sz val="10"/>
        <color rgb="FF000000"/>
        <rFont val="Noto Sans CJK SC"/>
        <family val="2"/>
      </rPr>
      <t xml:space="preserve">倍。施用頻率夏季約</t>
    </r>
    <r>
      <rPr>
        <sz val="10"/>
        <color rgb="FF000000"/>
        <rFont val="Microsoft JhengHei"/>
        <family val="0"/>
        <charset val="1"/>
      </rPr>
      <t xml:space="preserve">4–5</t>
    </r>
    <r>
      <rPr>
        <sz val="10"/>
        <color rgb="FF000000"/>
        <rFont val="Noto Sans CJK SC"/>
        <family val="2"/>
      </rPr>
      <t xml:space="preserve">天一次、冬季</t>
    </r>
    <r>
      <rPr>
        <sz val="10"/>
        <color rgb="FF000000"/>
        <rFont val="Microsoft JhengHei"/>
        <family val="0"/>
        <charset val="1"/>
      </rPr>
      <t xml:space="preserve">6–7</t>
    </r>
    <r>
      <rPr>
        <sz val="10"/>
        <color rgb="FF000000"/>
        <rFont val="Noto Sans CJK SC"/>
        <family val="2"/>
      </rPr>
      <t xml:space="preserve">天一次。使用前確認現行登記。</t>
    </r>
  </si>
  <si>
    <t xml:space="preserve">每花序皆有處理紀錄</t>
  </si>
  <si>
    <r>
      <rPr>
        <sz val="10"/>
        <color rgb="FF000000"/>
        <rFont val="Microsoft JhengHei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S22</t>
    </r>
  </si>
  <si>
    <t xml:space="preserve">C04</t>
  </si>
  <si>
    <r>
      <rPr>
        <sz val="10"/>
        <color rgb="FF000000"/>
        <rFont val="Noto Sans CJK SC"/>
        <family val="2"/>
      </rPr>
      <t xml:space="preserve">每週</t>
    </r>
    <r>
      <rPr>
        <sz val="10"/>
        <color rgb="FF000000"/>
        <rFont val="Microsoft JhengHei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次</t>
    </r>
  </si>
  <si>
    <r>
      <rPr>
        <b val="true"/>
        <sz val="10"/>
        <color rgb="FF000000"/>
        <rFont val="Noto Sans CJK SC"/>
        <family val="2"/>
      </rPr>
      <t xml:space="preserve">振動授粉</t>
    </r>
    <r>
      <rPr>
        <b val="true"/>
        <sz val="10"/>
        <color rgb="FF000000"/>
        <rFont val="Microsoft JhengHei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方案三</t>
    </r>
    <r>
      <rPr>
        <b val="true"/>
        <sz val="10"/>
        <color rgb="FF000000"/>
        <rFont val="Microsoft JhengHei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</si>
  <si>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以電動振動器或搖動吊線振動花序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每週</t>
    </r>
    <r>
      <rPr>
        <sz val="10"/>
        <color rgb="FF000000"/>
        <rFont val="Microsoft JhengHei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陰濕天花粉釋放差時每天進行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相對濕度</t>
    </r>
    <r>
      <rPr>
        <sz val="10"/>
        <color rgb="FF000000"/>
        <rFont val="Microsoft JhengHei"/>
        <family val="0"/>
        <charset val="1"/>
      </rPr>
      <t xml:space="preserve">60–70%</t>
    </r>
    <r>
      <rPr>
        <sz val="10"/>
        <color rgb="FF000000"/>
        <rFont val="Noto Sans CJK SC"/>
        <family val="2"/>
      </rPr>
      <t xml:space="preserve">時效果最好。</t>
    </r>
  </si>
  <si>
    <t xml:space="preserve">著果率持續上升</t>
  </si>
  <si>
    <t xml:space="preserve">C05</t>
  </si>
  <si>
    <r>
      <rPr>
        <b val="true"/>
        <sz val="10"/>
        <color rgb="FF000000"/>
        <rFont val="Noto Sans CJK SC"/>
        <family val="2"/>
      </rPr>
      <t xml:space="preserve">第</t>
    </r>
    <r>
      <rPr>
        <b val="true"/>
        <sz val="10"/>
        <color rgb="FF000000"/>
        <rFont val="Microsoft JhengHei"/>
        <family val="0"/>
        <charset val="1"/>
      </rPr>
      <t xml:space="preserve">1</t>
    </r>
    <r>
      <rPr>
        <b val="true"/>
        <sz val="10"/>
        <color rgb="FF000000"/>
        <rFont val="Noto Sans CJK SC"/>
        <family val="2"/>
      </rPr>
      <t xml:space="preserve">次追肥</t>
    </r>
  </si>
  <si>
    <r>
      <rPr>
        <sz val="10"/>
        <color rgb="FF000000"/>
        <rFont val="Noto Sans CJK SC"/>
        <family val="2"/>
      </rPr>
      <t xml:space="preserve">定植後</t>
    </r>
    <r>
      <rPr>
        <sz val="10"/>
        <color rgb="FF000000"/>
        <rFont val="Microsoft JhengHei"/>
        <family val="0"/>
        <charset val="1"/>
      </rPr>
      <t xml:space="preserve">20–30</t>
    </r>
    <r>
      <rPr>
        <sz val="10"/>
        <color rgb="FF000000"/>
        <rFont val="Noto Sans CJK SC"/>
        <family val="2"/>
      </rPr>
      <t xml:space="preserve">天、第一花序結果時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用量見參數表</t>
    </r>
    <r>
      <rPr>
        <sz val="10"/>
        <color rgb="FF000000"/>
        <rFont val="Microsoft JhengHei"/>
        <family val="0"/>
        <charset val="1"/>
      </rPr>
      <t xml:space="preserve">B53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C60–C61</t>
    </r>
    <r>
      <rPr>
        <sz val="10"/>
        <color rgb="FF000000"/>
        <rFont val="Noto Sans CJK SC"/>
        <family val="2"/>
      </rPr>
      <t xml:space="preserve">。之後依追肥日程表每</t>
    </r>
    <r>
      <rPr>
        <sz val="10"/>
        <color rgb="FF000000"/>
        <rFont val="Microsoft JhengHei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週一次。</t>
    </r>
  </si>
  <si>
    <t xml:space="preserve">依量施用並記錄</t>
  </si>
  <si>
    <t xml:space="preserve">C06</t>
  </si>
  <si>
    <t xml:space="preserve">生長量測</t>
  </si>
  <si>
    <r>
      <rPr>
        <sz val="10"/>
        <color rgb="FF000000"/>
        <rFont val="Noto Sans CJK SC"/>
        <family val="2"/>
      </rPr>
      <t xml:space="preserve">固定標記</t>
    </r>
    <r>
      <rPr>
        <sz val="10"/>
        <color rgb="FF000000"/>
        <rFont val="Microsoft JhengHei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株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平均分布在溫室南北、東西側與中間</t>
    </r>
    <r>
      <rPr>
        <sz val="10"/>
        <color rgb="FF000000"/>
        <rFont val="Microsoft JhengHei"/>
        <family val="0"/>
        <charset val="1"/>
      </rPr>
      <t xml:space="preserve">),</t>
    </r>
    <r>
      <rPr>
        <sz val="10"/>
        <color rgb="FF000000"/>
        <rFont val="Noto Sans CJK SC"/>
        <family val="2"/>
      </rPr>
      <t xml:space="preserve">每週量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莖徑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上週生長點位置</t>
    </r>
    <r>
      <rPr>
        <sz val="10"/>
        <color rgb="FF000000"/>
        <rFont val="Microsoft JhengHei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、生長點至最上開花花序距離、新開花序數、著果數。國外大果參考值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莖徑</t>
    </r>
    <r>
      <rPr>
        <sz val="10"/>
        <color rgb="FF000000"/>
        <rFont val="Microsoft JhengHei"/>
        <family val="0"/>
        <charset val="1"/>
      </rPr>
      <t xml:space="preserve">10–12 mm</t>
    </r>
    <r>
      <rPr>
        <sz val="10"/>
        <color rgb="FF000000"/>
        <rFont val="Noto Sans CJK SC"/>
        <family val="2"/>
      </rPr>
      <t xml:space="preserve">、花距</t>
    </r>
    <r>
      <rPr>
        <sz val="10"/>
        <color rgb="FF000000"/>
        <rFont val="Microsoft JhengHei"/>
        <family val="0"/>
        <charset val="1"/>
      </rPr>
      <t xml:space="preserve">13–18 cm;</t>
    </r>
    <r>
      <rPr>
        <sz val="10"/>
        <color rgb="FF000000"/>
        <rFont val="Noto Sans CJK SC"/>
        <family val="2"/>
      </rPr>
      <t xml:space="preserve">小果請以前</t>
    </r>
    <r>
      <rPr>
        <sz val="10"/>
        <color rgb="FF000000"/>
        <rFont val="Microsoft JhengHei"/>
        <family val="0"/>
        <charset val="1"/>
      </rPr>
      <t xml:space="preserve">3–4</t>
    </r>
    <r>
      <rPr>
        <sz val="10"/>
        <color rgb="FF000000"/>
        <rFont val="Noto Sans CJK SC"/>
        <family val="2"/>
      </rPr>
      <t xml:space="preserve">週數據建立自家基準。花距變短</t>
    </r>
    <r>
      <rPr>
        <sz val="10"/>
        <color rgb="FF000000"/>
        <rFont val="Microsoft JhengHe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莖變細</t>
    </r>
    <r>
      <rPr>
        <sz val="10"/>
        <color rgb="FF000000"/>
        <rFont val="Microsoft JhengHei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偏生殖生長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花距變長</t>
    </r>
    <r>
      <rPr>
        <sz val="10"/>
        <color rgb="FF000000"/>
        <rFont val="Microsoft JhengHe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莖變粗</t>
    </r>
    <r>
      <rPr>
        <sz val="10"/>
        <color rgb="FF000000"/>
        <rFont val="Microsoft JhengHei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偏營養生長。</t>
    </r>
  </si>
  <si>
    <r>
      <rPr>
        <sz val="10"/>
        <color rgb="FF000000"/>
        <rFont val="Noto Sans CJK SC"/>
        <family val="2"/>
      </rPr>
      <t xml:space="preserve">每週</t>
    </r>
    <r>
      <rPr>
        <sz val="10"/>
        <color rgb="FF000000"/>
        <rFont val="Microsoft JhengHei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株數據完整</t>
    </r>
  </si>
  <si>
    <r>
      <rPr>
        <sz val="10"/>
        <color rgb="FF000000"/>
        <rFont val="Noto Sans CJK SC"/>
        <family val="2"/>
      </rPr>
      <t xml:space="preserve">紀錄</t>
    </r>
    <r>
      <rPr>
        <sz val="10"/>
        <color rgb="FF000000"/>
        <rFont val="Microsoft JhengHei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生長量測</t>
    </r>
  </si>
  <si>
    <t xml:space="preserve">S15</t>
  </si>
  <si>
    <t xml:space="preserve">C07</t>
  </si>
  <si>
    <r>
      <rPr>
        <b val="true"/>
        <sz val="10"/>
        <color rgb="FF000000"/>
        <rFont val="Noto Sans CJK SC"/>
        <family val="2"/>
      </rPr>
      <t xml:space="preserve">疏花疏果</t>
    </r>
    <r>
      <rPr>
        <b val="true"/>
        <sz val="10"/>
        <color rgb="FF000000"/>
        <rFont val="Microsoft JhengHei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依品種</t>
    </r>
    <r>
      <rPr>
        <b val="true"/>
        <sz val="10"/>
        <color rgb="FF000000"/>
        <rFont val="Microsoft JhengHei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</si>
  <si>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果穗過長或弱株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小果每穗留</t>
    </r>
    <r>
      <rPr>
        <sz val="10"/>
        <color rgb="FF000000"/>
        <rFont val="Microsoft JhengHei"/>
        <family val="0"/>
        <charset val="1"/>
      </rPr>
      <t xml:space="preserve">8–10</t>
    </r>
    <r>
      <rPr>
        <sz val="10"/>
        <color rgb="FF000000"/>
        <rFont val="Noto Sans CJK SC"/>
        <family val="2"/>
      </rPr>
      <t xml:space="preserve">果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或</t>
    </r>
    <r>
      <rPr>
        <sz val="10"/>
        <color rgb="FF000000"/>
        <rFont val="Microsoft JhengHei"/>
        <family val="0"/>
        <charset val="1"/>
      </rPr>
      <t xml:space="preserve">8–12</t>
    </r>
    <r>
      <rPr>
        <sz val="10"/>
        <color rgb="FF000000"/>
        <rFont val="Noto Sans CJK SC"/>
        <family val="2"/>
      </rPr>
      <t xml:space="preserve">果</t>
    </r>
    <r>
      <rPr>
        <sz val="10"/>
        <color rgb="FF000000"/>
        <rFont val="Microsoft JhengHei"/>
        <family val="0"/>
        <charset val="1"/>
      </rPr>
      <t xml:space="preserve">),</t>
    </r>
    <r>
      <rPr>
        <sz val="10"/>
        <color rgb="FF000000"/>
        <rFont val="Noto Sans CJK SC"/>
        <family val="2"/>
      </rPr>
      <t xml:space="preserve">每週一次。</t>
    </r>
  </si>
  <si>
    <t xml:space="preserve">果穗留果數一致</t>
  </si>
  <si>
    <t xml:space="preserve">C08</t>
  </si>
  <si>
    <t xml:space="preserve">盛花期濕度管理</t>
  </si>
  <si>
    <r>
      <rPr>
        <sz val="10"/>
        <color rgb="FF000000"/>
        <rFont val="Noto Sans CJK SC"/>
        <family val="2"/>
      </rPr>
      <t xml:space="preserve">盛花期約定植後</t>
    </r>
    <r>
      <rPr>
        <sz val="10"/>
        <color rgb="FF000000"/>
        <rFont val="Microsoft JhengHei"/>
        <family val="0"/>
        <charset val="1"/>
      </rPr>
      <t xml:space="preserve">40–50</t>
    </r>
    <r>
      <rPr>
        <sz val="10"/>
        <color rgb="FF000000"/>
        <rFont val="Noto Sans CJK SC"/>
        <family val="2"/>
      </rPr>
      <t xml:space="preserve">天。相對濕度維持低於</t>
    </r>
    <r>
      <rPr>
        <sz val="10"/>
        <color rgb="FF000000"/>
        <rFont val="Microsoft JhengHei"/>
        <family val="0"/>
        <charset val="1"/>
      </rPr>
      <t xml:space="preserve">90%,</t>
    </r>
    <r>
      <rPr>
        <sz val="10"/>
        <color rgb="FF000000"/>
        <rFont val="Noto Sans CJK SC"/>
        <family val="2"/>
      </rPr>
      <t xml:space="preserve">日出後通風並開循環風扇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降低灰黴病、葉黴病。</t>
    </r>
  </si>
  <si>
    <r>
      <rPr>
        <sz val="10"/>
        <color rgb="FF000000"/>
        <rFont val="Noto Sans CJK SC"/>
        <family val="2"/>
      </rPr>
      <t xml:space="preserve">每日</t>
    </r>
    <r>
      <rPr>
        <sz val="10"/>
        <color rgb="FF000000"/>
        <rFont val="Microsoft JhengHei"/>
        <family val="0"/>
        <charset val="1"/>
      </rPr>
      <t xml:space="preserve">RH</t>
    </r>
    <r>
      <rPr>
        <sz val="10"/>
        <color rgb="FF000000"/>
        <rFont val="Noto Sans CJK SC"/>
        <family val="2"/>
      </rPr>
      <t xml:space="preserve">紀錄</t>
    </r>
    <r>
      <rPr>
        <sz val="10"/>
        <color rgb="FF000000"/>
        <rFont val="Microsoft JhengHei"/>
        <family val="0"/>
        <charset val="1"/>
      </rPr>
      <t xml:space="preserve">&lt;90%</t>
    </r>
  </si>
  <si>
    <r>
      <rPr>
        <sz val="10"/>
        <color rgb="FF000000"/>
        <rFont val="Microsoft JhengHei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S13</t>
    </r>
  </si>
  <si>
    <t xml:space="preserve">D01</t>
  </si>
  <si>
    <t xml:space="preserve">結果採收</t>
  </si>
  <si>
    <r>
      <rPr>
        <b val="true"/>
        <sz val="10"/>
        <color rgb="FF000000"/>
        <rFont val="Noto Sans CJK SC"/>
        <family val="2"/>
      </rPr>
      <t xml:space="preserve">第</t>
    </r>
    <r>
      <rPr>
        <b val="true"/>
        <sz val="10"/>
        <color rgb="FF000000"/>
        <rFont val="Microsoft JhengHei"/>
        <family val="0"/>
        <charset val="1"/>
      </rPr>
      <t xml:space="preserve">1</t>
    </r>
    <r>
      <rPr>
        <b val="true"/>
        <sz val="10"/>
        <color rgb="FF000000"/>
        <rFont val="Noto Sans CJK SC"/>
        <family val="2"/>
      </rPr>
      <t xml:space="preserve">果房轉色→調整肥水</t>
    </r>
  </si>
  <si>
    <r>
      <rPr>
        <sz val="10"/>
        <color rgb="FF000000"/>
        <rFont val="Noto Sans CJK SC"/>
        <family val="2"/>
      </rPr>
      <t xml:space="preserve">參考農業部試驗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Microsoft JhengHe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果房轉色期起滴灌改為每日</t>
    </r>
    <r>
      <rPr>
        <sz val="10"/>
        <color rgb="FF000000"/>
        <rFont val="Microsoft JhengHe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次、每次</t>
    </r>
    <r>
      <rPr>
        <sz val="10"/>
        <color rgb="FF000000"/>
        <rFont val="Microsoft JhengHei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分鐘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依土壤濕度調整</t>
    </r>
    <r>
      <rPr>
        <sz val="10"/>
        <color rgb="FF000000"/>
        <rFont val="Microsoft JhengHei"/>
        <family val="0"/>
        <charset val="1"/>
      </rPr>
      <t xml:space="preserve">);</t>
    </r>
    <r>
      <rPr>
        <sz val="10"/>
        <color rgb="FF000000"/>
        <rFont val="Noto Sans CJK SC"/>
        <family val="2"/>
      </rPr>
      <t xml:space="preserve">水溶肥由</t>
    </r>
    <r>
      <rPr>
        <sz val="10"/>
        <color rgb="FF000000"/>
        <rFont val="Microsoft JhengHei"/>
        <family val="0"/>
        <charset val="1"/>
      </rPr>
      <t xml:space="preserve">20-20-20</t>
    </r>
    <r>
      <rPr>
        <sz val="10"/>
        <color rgb="FF000000"/>
        <rFont val="Noto Sans CJK SC"/>
        <family val="2"/>
      </rPr>
      <t xml:space="preserve">改為高鉀</t>
    </r>
    <r>
      <rPr>
        <sz val="10"/>
        <color rgb="FF000000"/>
        <rFont val="Microsoft JhengHei"/>
        <family val="0"/>
        <charset val="1"/>
      </rPr>
      <t xml:space="preserve">15-20-25</t>
    </r>
    <r>
      <rPr>
        <sz val="10"/>
        <color rgb="FF000000"/>
        <rFont val="Noto Sans CJK SC"/>
        <family val="2"/>
      </rPr>
      <t xml:space="preserve">。結果期</t>
    </r>
    <r>
      <rPr>
        <sz val="10"/>
        <color rgb="FF000000"/>
        <rFont val="Microsoft JhengHei"/>
        <family val="0"/>
        <charset val="1"/>
      </rPr>
      <t xml:space="preserve">N:P₂O₅:K₂O</t>
    </r>
    <r>
      <rPr>
        <sz val="10"/>
        <color rgb="FF000000"/>
        <rFont val="Noto Sans CJK SC"/>
        <family val="2"/>
      </rPr>
      <t xml:space="preserve">約</t>
    </r>
    <r>
      <rPr>
        <sz val="10"/>
        <color rgb="FF000000"/>
        <rFont val="Microsoft JhengHei"/>
        <family val="0"/>
        <charset val="1"/>
      </rPr>
      <t xml:space="preserve">3:1:2(</t>
    </r>
    <r>
      <rPr>
        <sz val="10"/>
        <color rgb="FF000000"/>
        <rFont val="Noto Sans CJK SC"/>
        <family val="2"/>
      </rPr>
      <t xml:space="preserve">生育初期約</t>
    </r>
    <r>
      <rPr>
        <sz val="10"/>
        <color rgb="FF000000"/>
        <rFont val="Microsoft JhengHei"/>
        <family val="0"/>
        <charset val="1"/>
      </rPr>
      <t xml:space="preserve">6:1:4)</t>
    </r>
    <r>
      <rPr>
        <sz val="10"/>
        <color rgb="FF000000"/>
        <rFont val="Noto Sans CJK SC"/>
        <family val="2"/>
      </rPr>
      <t xml:space="preserve">。避免忽乾忽濕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以免裂果、尻腐。</t>
    </r>
  </si>
  <si>
    <t xml:space="preserve">無裂果尻腐增加</t>
  </si>
  <si>
    <r>
      <rPr>
        <sz val="10"/>
        <color rgb="FF000000"/>
        <rFont val="Microsoft JhengHei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S13</t>
    </r>
  </si>
  <si>
    <t xml:space="preserve">D02</t>
  </si>
  <si>
    <t xml:space="preserve">摘下位葉</t>
  </si>
  <si>
    <r>
      <rPr>
        <sz val="10"/>
        <color rgb="FF000000"/>
        <rFont val="Noto Sans CJK SC"/>
        <family val="2"/>
      </rPr>
      <t xml:space="preserve">採收完的果房以下葉片全部摘除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並多摘果房上方</t>
    </r>
    <r>
      <rPr>
        <sz val="10"/>
        <color rgb="FF000000"/>
        <rFont val="Microsoft JhengHe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片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維持約</t>
    </r>
    <r>
      <rPr>
        <sz val="10"/>
        <color rgb="FF000000"/>
        <rFont val="Microsoft JhengHei"/>
        <family val="0"/>
        <charset val="1"/>
      </rPr>
      <t xml:space="preserve">1.5–1.8 m(5–6 ft)</t>
    </r>
    <r>
      <rPr>
        <sz val="10"/>
        <color rgb="FF000000"/>
        <rFont val="Noto Sans CJK SC"/>
        <family val="2"/>
      </rPr>
      <t xml:space="preserve">葉幕。摘下的葉片帶出溫室。</t>
    </r>
  </si>
  <si>
    <t xml:space="preserve">果房下方無老葉</t>
  </si>
  <si>
    <r>
      <rPr>
        <sz val="10"/>
        <color rgb="FF000000"/>
        <rFont val="Microsoft JhengHei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S12</t>
    </r>
  </si>
  <si>
    <t xml:space="preserve">D03</t>
  </si>
  <si>
    <r>
      <rPr>
        <sz val="10"/>
        <color rgb="FF000000"/>
        <rFont val="Noto Sans CJK SC"/>
        <family val="2"/>
      </rPr>
      <t xml:space="preserve">每週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選用</t>
    </r>
    <r>
      <rPr>
        <sz val="10"/>
        <color rgb="FF000000"/>
        <rFont val="Microsoft JhengHei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</si>
  <si>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落蔓</t>
    </r>
    <r>
      <rPr>
        <b val="true"/>
        <sz val="10"/>
        <color rgb="FF000000"/>
        <rFont val="Microsoft JhengHei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採吊蔓時</t>
    </r>
    <r>
      <rPr>
        <b val="true"/>
        <sz val="10"/>
        <color rgb="FF000000"/>
        <rFont val="Microsoft JhengHei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</si>
  <si>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採吊繩落蔓系統時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小果番茄每週約放下</t>
    </r>
    <r>
      <rPr>
        <sz val="10"/>
        <color rgb="FF000000"/>
        <rFont val="Microsoft JhengHei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圈吊繩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讓生長點維持在工作高度。</t>
    </r>
  </si>
  <si>
    <t xml:space="preserve">生長點高度一致</t>
  </si>
  <si>
    <t xml:space="preserve">S14</t>
  </si>
  <si>
    <t xml:space="preserve">D04</t>
  </si>
  <si>
    <r>
      <rPr>
        <sz val="10"/>
        <color rgb="FF000000"/>
        <rFont val="Noto Sans CJK SC"/>
        <family val="2"/>
      </rPr>
      <t xml:space="preserve">每週</t>
    </r>
    <r>
      <rPr>
        <sz val="10"/>
        <color rgb="FF000000"/>
        <rFont val="Microsoft JhengHei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次</t>
    </r>
  </si>
  <si>
    <t xml:space="preserve">採收</t>
  </si>
  <si>
    <r>
      <rPr>
        <sz val="10"/>
        <color rgb="FF000000"/>
        <rFont val="Noto Sans CJK SC"/>
        <family val="2"/>
      </rPr>
      <t xml:space="preserve">果實紅熟且硬度高時採收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糖度應達</t>
    </r>
    <r>
      <rPr>
        <sz val="10"/>
        <color rgb="FF000000"/>
        <rFont val="Microsoft JhengHei"/>
        <family val="0"/>
        <charset val="1"/>
      </rPr>
      <t xml:space="preserve">7°Brix</t>
    </r>
    <r>
      <rPr>
        <sz val="10"/>
        <color rgb="FF000000"/>
        <rFont val="Noto Sans CJK SC"/>
        <family val="2"/>
      </rPr>
      <t xml:space="preserve">以上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夏季提早採收避免裂果。每天記錄採收日期、區塊、作業人員。</t>
    </r>
  </si>
  <si>
    <r>
      <rPr>
        <sz val="10"/>
        <color rgb="FF000000"/>
        <rFont val="Noto Sans CJK SC"/>
        <family val="2"/>
      </rPr>
      <t xml:space="preserve">每批抽測糖度≥</t>
    </r>
    <r>
      <rPr>
        <sz val="10"/>
        <color rgb="FF000000"/>
        <rFont val="Microsoft JhengHei"/>
        <family val="0"/>
        <charset val="1"/>
      </rPr>
      <t xml:space="preserve">7</t>
    </r>
  </si>
  <si>
    <r>
      <rPr>
        <sz val="10"/>
        <color rgb="FF000000"/>
        <rFont val="Noto Sans CJK SC"/>
        <family val="2"/>
      </rPr>
      <t xml:space="preserve">紀錄</t>
    </r>
    <r>
      <rPr>
        <sz val="10"/>
        <color rgb="FF000000"/>
        <rFont val="Microsoft JhengHei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採收出貨</t>
    </r>
  </si>
  <si>
    <r>
      <rPr>
        <sz val="10"/>
        <color rgb="FF000000"/>
        <rFont val="Microsoft JhengHei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S2</t>
    </r>
  </si>
  <si>
    <t xml:space="preserve">D05</t>
  </si>
  <si>
    <t xml:space="preserve">每批</t>
  </si>
  <si>
    <t xml:space="preserve">採後處理與貯藏</t>
  </si>
  <si>
    <r>
      <rPr>
        <sz val="10"/>
        <color rgb="FF000000"/>
        <rFont val="Noto Sans CJK SC"/>
        <family val="2"/>
      </rPr>
      <t xml:space="preserve">採後移至陰涼處分級、預冷、包裝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淡紅果</t>
    </r>
    <r>
      <rPr>
        <sz val="10"/>
        <color rgb="FF000000"/>
        <rFont val="Microsoft JhengHei"/>
        <family val="0"/>
        <charset val="1"/>
      </rPr>
      <t xml:space="preserve">10–12.5°C</t>
    </r>
    <r>
      <rPr>
        <sz val="10"/>
        <color rgb="FF000000"/>
        <rFont val="Noto Sans CJK SC"/>
        <family val="2"/>
      </rPr>
      <t xml:space="preserve">、紅熟硬果</t>
    </r>
    <r>
      <rPr>
        <sz val="10"/>
        <color rgb="FF000000"/>
        <rFont val="Microsoft JhengHei"/>
        <family val="0"/>
        <charset val="1"/>
      </rPr>
      <t xml:space="preserve">7–10°C</t>
    </r>
    <r>
      <rPr>
        <sz val="10"/>
        <color rgb="FF000000"/>
        <rFont val="Noto Sans CJK SC"/>
        <family val="2"/>
      </rPr>
      <t xml:space="preserve">可放</t>
    </r>
    <r>
      <rPr>
        <sz val="10"/>
        <color rgb="FF000000"/>
        <rFont val="Microsoft JhengHei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天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相對濕度</t>
    </r>
    <r>
      <rPr>
        <sz val="10"/>
        <color rgb="FF000000"/>
        <rFont val="Microsoft JhengHei"/>
        <family val="0"/>
        <charset val="1"/>
      </rPr>
      <t xml:space="preserve">90–95%;</t>
    </r>
    <r>
      <rPr>
        <sz val="10"/>
        <color rgb="FF000000"/>
        <rFont val="Noto Sans CJK SC"/>
        <family val="2"/>
      </rPr>
      <t xml:space="preserve">低於</t>
    </r>
    <r>
      <rPr>
        <sz val="10"/>
        <color rgb="FF000000"/>
        <rFont val="Microsoft JhengHei"/>
        <family val="0"/>
        <charset val="1"/>
      </rPr>
      <t xml:space="preserve">10°C</t>
    </r>
    <r>
      <rPr>
        <sz val="10"/>
        <color rgb="FF000000"/>
        <rFont val="Noto Sans CJK SC"/>
        <family val="2"/>
      </rPr>
      <t xml:space="preserve">超過</t>
    </r>
    <r>
      <rPr>
        <sz val="10"/>
        <color rgb="FF000000"/>
        <rFont val="Microsoft JhengHei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週會寒害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不與對乙烯敏感的蔬菜同庫。冷藏溫度每天記錄。</t>
    </r>
  </si>
  <si>
    <t xml:space="preserve">冷藏溫度紀錄完整</t>
  </si>
  <si>
    <r>
      <rPr>
        <sz val="10"/>
        <color rgb="FF000000"/>
        <rFont val="Microsoft JhengHei"/>
        <family val="0"/>
        <charset val="1"/>
      </rPr>
      <t xml:space="preserve">S20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S2</t>
    </r>
  </si>
  <si>
    <t xml:space="preserve">D06</t>
  </si>
  <si>
    <r>
      <rPr>
        <sz val="10"/>
        <color rgb="FF000000"/>
        <rFont val="Noto Sans CJK SC"/>
        <family val="2"/>
      </rPr>
      <t xml:space="preserve">每期作</t>
    </r>
    <r>
      <rPr>
        <sz val="10"/>
        <color rgb="FF000000"/>
        <rFont val="Microsoft JhengHe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次</t>
    </r>
  </si>
  <si>
    <t xml:space="preserve">農藥殘留檢驗</t>
  </si>
  <si>
    <r>
      <rPr>
        <sz val="10"/>
        <color rgb="FF000000"/>
        <rFont val="Noto Sans CJK SC"/>
        <family val="2"/>
      </rPr>
      <t xml:space="preserve">首批採收前後送驗果實農藥殘留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每期作至少一次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報告存檔。</t>
    </r>
  </si>
  <si>
    <t xml:space="preserve">檢驗合格報告</t>
  </si>
  <si>
    <t xml:space="preserve">D07</t>
  </si>
  <si>
    <r>
      <rPr>
        <sz val="10"/>
        <color rgb="FF000000"/>
        <rFont val="Noto Sans CJK SC"/>
        <family val="2"/>
      </rPr>
      <t xml:space="preserve">每期作</t>
    </r>
    <r>
      <rPr>
        <sz val="10"/>
        <color rgb="FF000000"/>
        <rFont val="Microsoft JhengHe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選用</t>
    </r>
    <r>
      <rPr>
        <sz val="10"/>
        <color rgb="FF000000"/>
        <rFont val="Microsoft JhengHei"/>
        <family val="0"/>
        <charset val="1"/>
      </rPr>
      <t xml:space="preserve">)</t>
    </r>
  </si>
  <si>
    <t xml:space="preserve">葉片營養分析</t>
  </si>
  <si>
    <r>
      <rPr>
        <sz val="10"/>
        <color rgb="FF000000"/>
        <rFont val="Noto Sans CJK SC"/>
        <family val="2"/>
      </rPr>
      <t xml:space="preserve">採</t>
    </r>
    <r>
      <rPr>
        <sz val="10"/>
        <color rgb="FF000000"/>
        <rFont val="Microsoft JhengHei"/>
        <family val="0"/>
        <charset val="1"/>
      </rPr>
      <t xml:space="preserve">15–20</t>
    </r>
    <r>
      <rPr>
        <sz val="10"/>
        <color rgb="FF000000"/>
        <rFont val="Noto Sans CJK SC"/>
        <family val="2"/>
      </rPr>
      <t xml:space="preserve">片生長點往下第</t>
    </r>
    <r>
      <rPr>
        <sz val="10"/>
        <color rgb="FF000000"/>
        <rFont val="Microsoft JhengHei"/>
        <family val="0"/>
        <charset val="1"/>
      </rPr>
      <t xml:space="preserve">3–4</t>
    </r>
    <r>
      <rPr>
        <sz val="10"/>
        <color rgb="FF000000"/>
        <rFont val="Noto Sans CJK SC"/>
        <family val="2"/>
      </rPr>
      <t xml:space="preserve">片的完整成熟葉送驗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確認氮磷鉀鈣鎂是否不足。</t>
    </r>
  </si>
  <si>
    <t xml:space="preserve">取得分析報告</t>
  </si>
  <si>
    <t xml:space="preserve">D08</t>
  </si>
  <si>
    <t xml:space="preserve">高溫期</t>
  </si>
  <si>
    <t xml:space="preserve">高溫期補鈣與降溫</t>
  </si>
  <si>
    <r>
      <rPr>
        <sz val="10"/>
        <color rgb="FF000000"/>
        <rFont val="Noto Sans CJK SC"/>
        <family val="2"/>
      </rPr>
      <t xml:space="preserve">日溫高於</t>
    </r>
    <r>
      <rPr>
        <sz val="10"/>
        <color rgb="FF000000"/>
        <rFont val="Microsoft JhengHei"/>
        <family val="0"/>
        <charset val="1"/>
      </rPr>
      <t xml:space="preserve">26°C</t>
    </r>
    <r>
      <rPr>
        <sz val="10"/>
        <color rgb="FF000000"/>
        <rFont val="Noto Sans CJK SC"/>
        <family val="2"/>
      </rPr>
      <t xml:space="preserve">、夜溫高於</t>
    </r>
    <r>
      <rPr>
        <sz val="10"/>
        <color rgb="FF000000"/>
        <rFont val="Microsoft JhengHei"/>
        <family val="0"/>
        <charset val="1"/>
      </rPr>
      <t xml:space="preserve">20°C</t>
    </r>
    <r>
      <rPr>
        <sz val="10"/>
        <color rgb="FF000000"/>
        <rFont val="Noto Sans CJK SC"/>
        <family val="2"/>
      </rPr>
      <t xml:space="preserve">即進入高溫障礙</t>
    </r>
    <r>
      <rPr>
        <sz val="10"/>
        <color rgb="FF000000"/>
        <rFont val="Microsoft JhengHei"/>
        <family val="0"/>
        <charset val="1"/>
      </rPr>
      <t xml:space="preserve">;30°C</t>
    </r>
    <r>
      <rPr>
        <sz val="10"/>
        <color rgb="FF000000"/>
        <rFont val="Noto Sans CJK SC"/>
        <family val="2"/>
      </rPr>
      <t xml:space="preserve">以上花粉管發育受阻。高溫期每</t>
    </r>
    <r>
      <rPr>
        <sz val="10"/>
        <color rgb="FF000000"/>
        <rFont val="Microsoft JhengHei"/>
        <family val="0"/>
        <charset val="1"/>
      </rPr>
      <t xml:space="preserve">7–10</t>
    </r>
    <r>
      <rPr>
        <sz val="10"/>
        <color rgb="FF000000"/>
        <rFont val="Noto Sans CJK SC"/>
        <family val="2"/>
      </rPr>
      <t xml:space="preserve">天葉面噴水溶鈣</t>
    </r>
    <r>
      <rPr>
        <sz val="10"/>
        <color rgb="FF000000"/>
        <rFont val="Microsoft JhengHe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連續</t>
    </r>
    <r>
      <rPr>
        <sz val="10"/>
        <color rgb="FF000000"/>
        <rFont val="Microsoft JhengHei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開遮陰網、提高供水頻率降低根溫。</t>
    </r>
  </si>
  <si>
    <t xml:space="preserve">高溫期落花、尻腐比例下降</t>
  </si>
  <si>
    <t xml:space="preserve">S4</t>
  </si>
  <si>
    <t xml:space="preserve">E01</t>
  </si>
  <si>
    <t xml:space="preserve">作期末</t>
  </si>
  <si>
    <t xml:space="preserve">摘心</t>
  </si>
  <si>
    <r>
      <rPr>
        <sz val="10"/>
        <color rgb="FF000000"/>
        <rFont val="Noto Sans CJK SC"/>
        <family val="2"/>
      </rPr>
      <t xml:space="preserve">作期結束前</t>
    </r>
    <r>
      <rPr>
        <sz val="10"/>
        <color rgb="FF000000"/>
        <rFont val="Microsoft JhengHei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週摘除頂芽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讓養分集中到已著果的果房。之後停止授粉與生長量測。</t>
    </r>
  </si>
  <si>
    <t xml:space="preserve">全部幹摘心</t>
  </si>
  <si>
    <t xml:space="preserve">S12</t>
  </si>
  <si>
    <t xml:space="preserve">E02</t>
  </si>
  <si>
    <t xml:space="preserve">清園</t>
  </si>
  <si>
    <r>
      <rPr>
        <sz val="10"/>
        <color rgb="FF000000"/>
        <rFont val="Noto Sans CJK SC"/>
        <family val="2"/>
      </rPr>
      <t xml:space="preserve">末採後拔除植株、殘根、落果並帶離溫室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回收滴帶、吊繩、黏紙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蜂箱撤出。</t>
    </r>
  </si>
  <si>
    <t xml:space="preserve">溫室內無植株殘體</t>
  </si>
  <si>
    <t xml:space="preserve">E03</t>
  </si>
  <si>
    <t xml:space="preserve">作後土壤檢測與休閒規劃</t>
  </si>
  <si>
    <r>
      <rPr>
        <sz val="10"/>
        <color rgb="FF000000"/>
        <rFont val="Noto Sans CJK SC"/>
        <family val="2"/>
      </rPr>
      <t xml:space="preserve">採土驗</t>
    </r>
    <r>
      <rPr>
        <sz val="10"/>
        <color rgb="FF000000"/>
        <rFont val="Microsoft JhengHei"/>
        <family val="0"/>
        <charset val="1"/>
      </rPr>
      <t xml:space="preserve">pH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EC;EC</t>
    </r>
    <r>
      <rPr>
        <sz val="10"/>
        <color rgb="FF000000"/>
        <rFont val="Noto Sans CJK SC"/>
        <family val="2"/>
      </rPr>
      <t xml:space="preserve">偏高則安排淋洗、有機質改良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見</t>
    </r>
    <r>
      <rPr>
        <sz val="10"/>
        <color rgb="FF000000"/>
        <rFont val="Microsoft JhengHei"/>
        <family val="0"/>
        <charset val="1"/>
      </rPr>
      <t xml:space="preserve">A03);</t>
    </r>
    <r>
      <rPr>
        <sz val="10"/>
        <color rgb="FF000000"/>
        <rFont val="Noto Sans CJK SC"/>
        <family val="2"/>
      </rPr>
      <t xml:space="preserve">有青枯病、線蟲發生則規劃輪作或嫁接苗。</t>
    </r>
  </si>
  <si>
    <t xml:space="preserve">下期作土壤改良計畫</t>
  </si>
  <si>
    <r>
      <rPr>
        <sz val="10"/>
        <color rgb="FF000000"/>
        <rFont val="Microsoft JhengHei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S6</t>
    </r>
  </si>
  <si>
    <t xml:space="preserve">E04</t>
  </si>
  <si>
    <t xml:space="preserve">作期檢討</t>
  </si>
  <si>
    <r>
      <rPr>
        <sz val="10"/>
        <color rgb="FF000000"/>
        <rFont val="Noto Sans CJK SC"/>
        <family val="2"/>
      </rPr>
      <t xml:space="preserve">彙整總產量</t>
    </r>
    <r>
      <rPr>
        <sz val="10"/>
        <color rgb="FF000000"/>
        <rFont val="Microsoft JhengHei"/>
        <family val="0"/>
        <charset val="1"/>
      </rPr>
      <t xml:space="preserve">(kg/</t>
    </r>
    <r>
      <rPr>
        <sz val="10"/>
        <color rgb="FF000000"/>
        <rFont val="Noto Sans CJK SC"/>
        <family val="2"/>
      </rPr>
      <t xml:space="preserve">分地</t>
    </r>
    <r>
      <rPr>
        <sz val="10"/>
        <color rgb="FF000000"/>
        <rFont val="Microsoft JhengHei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、特級果比例、糖度、用肥量、病蟲害發生與防治成效、工時。參考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臺中場秋作玉女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籃耕介質、雙幹</t>
    </r>
    <r>
      <rPr>
        <sz val="10"/>
        <color rgb="FF000000"/>
        <rFont val="Microsoft JhengHei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總產量</t>
    </r>
    <r>
      <rPr>
        <sz val="10"/>
        <color rgb="FF000000"/>
        <rFont val="Microsoft JhengHei"/>
        <family val="0"/>
        <charset val="1"/>
      </rPr>
      <t xml:space="preserve">2,019 kg/0.1</t>
    </r>
    <r>
      <rPr>
        <sz val="10"/>
        <color rgb="FF000000"/>
        <rFont val="Noto Sans CJK SC"/>
        <family val="2"/>
      </rPr>
      <t xml:space="preserve">公頃、特級果</t>
    </r>
    <r>
      <rPr>
        <sz val="10"/>
        <color rgb="FF000000"/>
        <rFont val="Microsoft JhengHei"/>
        <family val="0"/>
        <charset val="1"/>
      </rPr>
      <t xml:space="preserve">91.9%</t>
    </r>
    <r>
      <rPr>
        <sz val="10"/>
        <color rgb="FF000000"/>
        <rFont val="Noto Sans CJK SC"/>
        <family val="2"/>
      </rPr>
      <t xml:space="preserve">。</t>
    </r>
  </si>
  <si>
    <t xml:space="preserve">完成檢討報告</t>
  </si>
  <si>
    <t xml:space="preserve">S5</t>
  </si>
  <si>
    <r>
      <rPr>
        <b val="true"/>
        <sz val="16"/>
        <color rgb="FF2F5233"/>
        <rFont val="Noto Sans CJK SC"/>
        <family val="2"/>
      </rPr>
      <t xml:space="preserve">週曆排程</t>
    </r>
    <r>
      <rPr>
        <b val="true"/>
        <sz val="16"/>
        <color rgb="FF2F5233"/>
        <rFont val="Microsoft JhengHei"/>
        <family val="0"/>
        <charset val="1"/>
      </rPr>
      <t xml:space="preserve">(●=</t>
    </r>
    <r>
      <rPr>
        <b val="true"/>
        <sz val="16"/>
        <color rgb="FF2F5233"/>
        <rFont val="Noto Sans CJK SC"/>
        <family val="2"/>
      </rPr>
      <t xml:space="preserve">本週執行 ★</t>
    </r>
    <r>
      <rPr>
        <b val="true"/>
        <sz val="16"/>
        <color rgb="FF2F5233"/>
        <rFont val="Microsoft JhengHei"/>
        <family val="0"/>
        <charset val="1"/>
      </rPr>
      <t xml:space="preserve">=</t>
    </r>
    <r>
      <rPr>
        <b val="true"/>
        <sz val="16"/>
        <color rgb="FF2F5233"/>
        <rFont val="Noto Sans CJK SC"/>
        <family val="2"/>
      </rPr>
      <t xml:space="preserve">關鍵節點</t>
    </r>
    <r>
      <rPr>
        <b val="true"/>
        <sz val="16"/>
        <color rgb="FF2F5233"/>
        <rFont val="Microsoft JhengHei"/>
        <family val="0"/>
        <charset val="1"/>
      </rPr>
      <t xml:space="preserve">)</t>
    </r>
  </si>
  <si>
    <t xml:space="preserve">週次與日期隨「參數與用量計算」自動更新</t>
  </si>
  <si>
    <t xml:space="preserve">週次</t>
  </si>
  <si>
    <t xml:space="preserve">週起日</t>
  </si>
  <si>
    <t xml:space="preserve">週迄日</t>
  </si>
  <si>
    <t xml:space="preserve">生育階段</t>
  </si>
  <si>
    <r>
      <rPr>
        <b val="true"/>
        <sz val="10"/>
        <color rgb="FFFFFFFF"/>
        <rFont val="Noto Sans CJK SC"/>
        <family val="2"/>
      </rPr>
      <t xml:space="preserve">訂苗</t>
    </r>
    <r>
      <rPr>
        <b val="true"/>
        <sz val="10"/>
        <color rgb="FFFFFFFF"/>
        <rFont val="Microsoft JhengHei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驗苗</t>
    </r>
  </si>
  <si>
    <t xml:space="preserve">整地基肥</t>
  </si>
  <si>
    <r>
      <rPr>
        <b val="true"/>
        <sz val="10"/>
        <color rgb="FFFFFFFF"/>
        <rFont val="Noto Sans CJK SC"/>
        <family val="2"/>
      </rPr>
      <t xml:space="preserve">誘引</t>
    </r>
    <r>
      <rPr>
        <b val="true"/>
        <sz val="10"/>
        <color rgb="FFFFFFFF"/>
        <rFont val="Microsoft JhengHei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摘側芽</t>
    </r>
  </si>
  <si>
    <t xml:space="preserve">授粉</t>
  </si>
  <si>
    <t xml:space="preserve">追肥</t>
  </si>
  <si>
    <t xml:space="preserve">黏紙監測</t>
  </si>
  <si>
    <r>
      <rPr>
        <b val="true"/>
        <sz val="10"/>
        <color rgb="FFFFFFFF"/>
        <rFont val="Noto Sans CJK SC"/>
        <family val="2"/>
      </rPr>
      <t xml:space="preserve">清園</t>
    </r>
    <r>
      <rPr>
        <b val="true"/>
        <sz val="10"/>
        <color rgb="FFFFFFFF"/>
        <rFont val="Microsoft JhengHei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驗土</t>
    </r>
  </si>
  <si>
    <t xml:space="preserve">本週清單項目數</t>
  </si>
  <si>
    <t xml:space="preserve">本週備註</t>
  </si>
  <si>
    <r>
      <rPr>
        <i val="true"/>
        <sz val="10"/>
        <color rgb="FF000000"/>
        <rFont val="Noto Sans CJK SC"/>
        <family val="2"/>
      </rPr>
      <t xml:space="preserve">註</t>
    </r>
    <r>
      <rPr>
        <i val="true"/>
        <sz val="10"/>
        <color rgb="FF000000"/>
        <rFont val="Microsoft JhengHei"/>
        <family val="0"/>
        <charset val="1"/>
      </rPr>
      <t xml:space="preserve">:</t>
    </r>
    <r>
      <rPr>
        <i val="true"/>
        <sz val="10"/>
        <color rgb="FF000000"/>
        <rFont val="Noto Sans CJK SC"/>
        <family val="2"/>
      </rPr>
      <t xml:space="preserve">「本週清單項目數」為「階段工作清單」中起始週次落在該週的工作數</t>
    </r>
    <r>
      <rPr>
        <i val="true"/>
        <sz val="10"/>
        <color rgb="FF000000"/>
        <rFont val="Microsoft JhengHei"/>
        <family val="0"/>
        <charset val="1"/>
      </rPr>
      <t xml:space="preserve">,</t>
    </r>
    <r>
      <rPr>
        <i val="true"/>
        <sz val="10"/>
        <color rgb="FF000000"/>
        <rFont val="Noto Sans CJK SC"/>
        <family val="2"/>
      </rPr>
      <t xml:space="preserve">可到清單以「起始週次」篩選查看。首採週為估計值。</t>
    </r>
  </si>
  <si>
    <r>
      <rPr>
        <b val="true"/>
        <sz val="16"/>
        <color rgb="FF2F5233"/>
        <rFont val="Noto Sans CJK SC"/>
        <family val="2"/>
      </rPr>
      <t xml:space="preserve">例行作業檢查表</t>
    </r>
    <r>
      <rPr>
        <b val="true"/>
        <sz val="16"/>
        <color rgb="FF2F5233"/>
        <rFont val="Microsoft JhengHei"/>
        <family val="0"/>
        <charset val="1"/>
      </rPr>
      <t xml:space="preserve">(</t>
    </r>
    <r>
      <rPr>
        <b val="true"/>
        <sz val="16"/>
        <color rgb="FF2F5233"/>
        <rFont val="Noto Sans CJK SC"/>
        <family val="2"/>
      </rPr>
      <t xml:space="preserve">每週列印一張</t>
    </r>
    <r>
      <rPr>
        <b val="true"/>
        <sz val="16"/>
        <color rgb="FF2F5233"/>
        <rFont val="Microsoft JhengHei"/>
        <family val="0"/>
        <charset val="1"/>
      </rPr>
      <t xml:space="preserve">)</t>
    </r>
  </si>
  <si>
    <r>
      <rPr>
        <sz val="10"/>
        <color rgb="FF595959"/>
        <rFont val="Noto Sans CJK SC"/>
        <family val="2"/>
      </rPr>
      <t xml:space="preserve">週次</t>
    </r>
    <r>
      <rPr>
        <sz val="10"/>
        <color rgb="FF595959"/>
        <rFont val="Microsoft JhengHei"/>
        <family val="0"/>
        <charset val="1"/>
      </rPr>
      <t xml:space="preserve">:______  </t>
    </r>
    <r>
      <rPr>
        <sz val="10"/>
        <color rgb="FF595959"/>
        <rFont val="Noto Sans CJK SC"/>
        <family val="2"/>
      </rPr>
      <t xml:space="preserve">日期</t>
    </r>
    <r>
      <rPr>
        <sz val="10"/>
        <color rgb="FF595959"/>
        <rFont val="Microsoft JhengHei"/>
        <family val="0"/>
        <charset val="1"/>
      </rPr>
      <t xml:space="preserve">:____/____ ~ ____/____  </t>
    </r>
    <r>
      <rPr>
        <sz val="10"/>
        <color rgb="FF595959"/>
        <rFont val="Noto Sans CJK SC"/>
        <family val="2"/>
      </rPr>
      <t xml:space="preserve">管理者簽核</t>
    </r>
    <r>
      <rPr>
        <sz val="10"/>
        <color rgb="FF595959"/>
        <rFont val="Microsoft JhengHei"/>
        <family val="0"/>
        <charset val="1"/>
      </rPr>
      <t xml:space="preserve">:__________</t>
    </r>
  </si>
  <si>
    <t xml:space="preserve">作業項目</t>
  </si>
  <si>
    <t xml:space="preserve">執行標準</t>
  </si>
  <si>
    <t xml:space="preserve">一</t>
  </si>
  <si>
    <t xml:space="preserve">二</t>
  </si>
  <si>
    <t xml:space="preserve">三</t>
  </si>
  <si>
    <t xml:space="preserve">四</t>
  </si>
  <si>
    <t xml:space="preserve">五</t>
  </si>
  <si>
    <t xml:space="preserve">六</t>
  </si>
  <si>
    <t xml:space="preserve">日</t>
  </si>
  <si>
    <t xml:space="preserve">異常說明</t>
  </si>
  <si>
    <t xml:space="preserve">溫濕度巡查紀錄</t>
  </si>
  <si>
    <r>
      <rPr>
        <sz val="10"/>
        <color rgb="FF000000"/>
        <rFont val="Noto Sans CJK SC"/>
        <family val="2"/>
      </rPr>
      <t xml:space="preserve">記錄最高</t>
    </r>
    <r>
      <rPr>
        <sz val="10"/>
        <color rgb="FF000000"/>
        <rFont val="Microsoft JhengHe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最低溫與</t>
    </r>
    <r>
      <rPr>
        <sz val="10"/>
        <color rgb="FF000000"/>
        <rFont val="Microsoft JhengHei"/>
        <family val="0"/>
        <charset val="1"/>
      </rPr>
      <t xml:space="preserve">RH</t>
    </r>
    <r>
      <rPr>
        <sz val="10"/>
        <color rgb="FF000000"/>
        <rFont val="Noto Sans CJK SC"/>
        <family val="2"/>
      </rPr>
      <t xml:space="preserve">。生產期目標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白天</t>
    </r>
    <r>
      <rPr>
        <sz val="10"/>
        <color rgb="FF000000"/>
        <rFont val="Microsoft JhengHei"/>
        <family val="0"/>
        <charset val="1"/>
      </rPr>
      <t xml:space="preserve">21–27°C</t>
    </r>
    <r>
      <rPr>
        <sz val="10"/>
        <color rgb="FF000000"/>
        <rFont val="Noto Sans CJK SC"/>
        <family val="2"/>
      </rPr>
      <t xml:space="preserve">、夜間</t>
    </r>
    <r>
      <rPr>
        <sz val="10"/>
        <color rgb="FF000000"/>
        <rFont val="Microsoft JhengHei"/>
        <family val="0"/>
        <charset val="1"/>
      </rPr>
      <t xml:space="preserve">17–18°C;RH 50–70%,</t>
    </r>
    <r>
      <rPr>
        <sz val="10"/>
        <color rgb="FF000000"/>
        <rFont val="Noto Sans CJK SC"/>
        <family val="2"/>
      </rPr>
      <t xml:space="preserve">不超過</t>
    </r>
    <r>
      <rPr>
        <sz val="10"/>
        <color rgb="FF000000"/>
        <rFont val="Microsoft JhengHei"/>
        <family val="0"/>
        <charset val="1"/>
      </rPr>
      <t xml:space="preserve">90%</t>
    </r>
    <r>
      <rPr>
        <sz val="10"/>
        <color rgb="FF000000"/>
        <rFont val="Noto Sans CJK SC"/>
        <family val="2"/>
      </rPr>
      <t xml:space="preserve">。國內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日溫</t>
    </r>
    <r>
      <rPr>
        <sz val="10"/>
        <color rgb="FF000000"/>
        <rFont val="Microsoft JhengHei"/>
        <family val="0"/>
        <charset val="1"/>
      </rPr>
      <t xml:space="preserve">&gt;26°C</t>
    </r>
    <r>
      <rPr>
        <sz val="10"/>
        <color rgb="FF000000"/>
        <rFont val="Noto Sans CJK SC"/>
        <family val="2"/>
      </rPr>
      <t xml:space="preserve">且夜溫</t>
    </r>
    <r>
      <rPr>
        <sz val="10"/>
        <color rgb="FF000000"/>
        <rFont val="Microsoft JhengHei"/>
        <family val="0"/>
        <charset val="1"/>
      </rPr>
      <t xml:space="preserve">&gt;20°C</t>
    </r>
    <r>
      <rPr>
        <sz val="10"/>
        <color rgb="FF000000"/>
        <rFont val="Noto Sans CJK SC"/>
        <family val="2"/>
      </rPr>
      <t xml:space="preserve">為高溫障礙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開花期</t>
    </r>
    <r>
      <rPr>
        <sz val="10"/>
        <color rgb="FF000000"/>
        <rFont val="Microsoft JhengHei"/>
        <family val="0"/>
        <charset val="1"/>
      </rPr>
      <t xml:space="preserve">&lt;15°C</t>
    </r>
    <r>
      <rPr>
        <sz val="10"/>
        <color rgb="FF000000"/>
        <rFont val="Noto Sans CJK SC"/>
        <family val="2"/>
      </rPr>
      <t xml:space="preserve">花粉發育不良、</t>
    </r>
    <r>
      <rPr>
        <sz val="10"/>
        <color rgb="FF000000"/>
        <rFont val="Microsoft JhengHei"/>
        <family val="0"/>
        <charset val="1"/>
      </rPr>
      <t xml:space="preserve">&gt;35°C</t>
    </r>
    <r>
      <rPr>
        <sz val="10"/>
        <color rgb="FF000000"/>
        <rFont val="Noto Sans CJK SC"/>
        <family val="2"/>
      </rPr>
      <t xml:space="preserve">妨礙雌雄蕊發育。</t>
    </r>
  </si>
  <si>
    <r>
      <rPr>
        <sz val="10"/>
        <color rgb="FF000000"/>
        <rFont val="Microsoft JhengHei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S9</t>
    </r>
  </si>
  <si>
    <r>
      <rPr>
        <b val="true"/>
        <sz val="10"/>
        <color rgb="FF000000"/>
        <rFont val="Noto Sans CJK SC"/>
        <family val="2"/>
      </rPr>
      <t xml:space="preserve">通風</t>
    </r>
    <r>
      <rPr>
        <b val="true"/>
        <sz val="10"/>
        <color rgb="FF000000"/>
        <rFont val="Microsoft JhengHei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遮陰</t>
    </r>
    <r>
      <rPr>
        <b val="true"/>
        <sz val="10"/>
        <color rgb="FF000000"/>
        <rFont val="Microsoft JhengHei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風扇操作</t>
    </r>
  </si>
  <si>
    <r>
      <rPr>
        <sz val="10"/>
        <color rgb="FF000000"/>
        <rFont val="Noto Sans CJK SC"/>
        <family val="2"/>
      </rPr>
      <t xml:space="preserve">日出後通風排濕並開循環風扇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晴天夜溫</t>
    </r>
    <r>
      <rPr>
        <sz val="10"/>
        <color rgb="FF000000"/>
        <rFont val="Microsoft JhengHei"/>
        <family val="0"/>
        <charset val="1"/>
      </rPr>
      <t xml:space="preserve">17–18°C</t>
    </r>
    <r>
      <rPr>
        <sz val="10"/>
        <color rgb="FF000000"/>
        <rFont val="Noto Sans CJK SC"/>
        <family val="2"/>
      </rPr>
      <t xml:space="preserve">、陰天後</t>
    </r>
    <r>
      <rPr>
        <sz val="10"/>
        <color rgb="FF000000"/>
        <rFont val="Microsoft JhengHei"/>
        <family val="0"/>
        <charset val="1"/>
      </rPr>
      <t xml:space="preserve">16–17°C;</t>
    </r>
    <r>
      <rPr>
        <sz val="10"/>
        <color rgb="FF000000"/>
        <rFont val="Noto Sans CJK SC"/>
        <family val="2"/>
      </rPr>
      <t xml:space="preserve">高溫期開遮陰網。</t>
    </r>
  </si>
  <si>
    <r>
      <rPr>
        <sz val="10"/>
        <color rgb="FF000000"/>
        <rFont val="Microsoft JhengHei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S4</t>
    </r>
  </si>
  <si>
    <t xml:space="preserve">滴灌系統巡查</t>
  </si>
  <si>
    <r>
      <rPr>
        <sz val="10"/>
        <color rgb="FF000000"/>
        <rFont val="Noto Sans CJK SC"/>
        <family val="2"/>
      </rPr>
      <t xml:space="preserve">檢查滴帶破損、堵塞、漏水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畦面濕潤是否均勻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避免忽乾忽濕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裂果、尻腐</t>
    </r>
    <r>
      <rPr>
        <sz val="10"/>
        <color rgb="FF000000"/>
        <rFont val="Microsoft JhengHei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</si>
  <si>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color rgb="FF000000"/>
        <rFont val="Noto Sans CJK SC"/>
        <family val="2"/>
      </rPr>
      <t xml:space="preserve">病株</t>
    </r>
    <r>
      <rPr>
        <b val="true"/>
        <sz val="10"/>
        <color rgb="FF000000"/>
        <rFont val="Microsoft JhengHei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病葉</t>
    </r>
    <r>
      <rPr>
        <b val="true"/>
        <sz val="10"/>
        <color rgb="FF000000"/>
        <rFont val="Microsoft JhengHei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病果清除</t>
    </r>
  </si>
  <si>
    <r>
      <rPr>
        <sz val="10"/>
        <color rgb="FF000000"/>
        <rFont val="Noto Sans CJK SC"/>
        <family val="2"/>
      </rPr>
      <t xml:space="preserve">發現捲葉病毒株、青枯株、灰黴病果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裝袋帶離園區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青枯株切莖泡水見乳白菌泥即確認。</t>
    </r>
  </si>
  <si>
    <r>
      <rPr>
        <sz val="10"/>
        <color rgb="FF000000"/>
        <rFont val="Microsoft JhengHei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S6</t>
    </r>
  </si>
  <si>
    <r>
      <rPr>
        <sz val="10"/>
        <color rgb="FF000000"/>
        <rFont val="Noto Sans CJK SC"/>
        <family val="2"/>
      </rPr>
      <t xml:space="preserve">每日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出貨期</t>
    </r>
    <r>
      <rPr>
        <sz val="10"/>
        <color rgb="FF000000"/>
        <rFont val="Microsoft JhengHei"/>
        <family val="0"/>
        <charset val="1"/>
      </rPr>
      <t xml:space="preserve">)</t>
    </r>
  </si>
  <si>
    <t xml:space="preserve">採收與冷藏溫度紀錄</t>
  </si>
  <si>
    <r>
      <rPr>
        <sz val="10"/>
        <color rgb="FF000000"/>
        <rFont val="Noto Sans CJK SC"/>
        <family val="2"/>
      </rPr>
      <t xml:space="preserve">記錄採收日期、區塊、作業人員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冷藏庫溫度每天記錄。</t>
    </r>
  </si>
  <si>
    <t xml:space="preserve">熊蜂咬痕檢查</t>
  </si>
  <si>
    <r>
      <rPr>
        <sz val="10"/>
        <color rgb="FF000000"/>
        <rFont val="Noto Sans CJK SC"/>
        <family val="2"/>
      </rPr>
      <t xml:space="preserve">不同位置採</t>
    </r>
    <r>
      <rPr>
        <sz val="10"/>
        <color rgb="FF000000"/>
        <rFont val="Microsoft JhengHei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朵已閉合花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應全部有咬痕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咬痕僅剩</t>
    </r>
    <r>
      <rPr>
        <sz val="10"/>
        <color rgb="FF000000"/>
        <rFont val="Microsoft JhengHei"/>
        <family val="0"/>
        <charset val="1"/>
      </rPr>
      <t xml:space="preserve">1–2</t>
    </r>
    <r>
      <rPr>
        <sz val="10"/>
        <color rgb="FF000000"/>
        <rFont val="Noto Sans CJK SC"/>
        <family val="2"/>
      </rPr>
      <t xml:space="preserve">個</t>
    </r>
    <r>
      <rPr>
        <sz val="10"/>
        <color rgb="FF000000"/>
        <rFont val="Microsoft JhengHe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朵時補新箱。</t>
    </r>
  </si>
  <si>
    <t xml:space="preserve">S18</t>
  </si>
  <si>
    <r>
      <rPr>
        <sz val="10"/>
        <color rgb="FF000000"/>
        <rFont val="Noto Sans CJK SC"/>
        <family val="2"/>
      </rPr>
      <t xml:space="preserve">側芽</t>
    </r>
    <r>
      <rPr>
        <sz val="10"/>
        <color rgb="FF000000"/>
        <rFont val="Microsoft JhengHei"/>
        <family val="0"/>
        <charset val="1"/>
      </rPr>
      <t xml:space="preserve">5–7.5 cm</t>
    </r>
    <r>
      <rPr>
        <sz val="10"/>
        <color rgb="FF000000"/>
        <rFont val="Noto Sans CJK SC"/>
        <family val="2"/>
      </rPr>
      <t xml:space="preserve">前摘除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晴天乾燥時段進行。</t>
    </r>
  </si>
  <si>
    <t xml:space="preserve">誘引夾莖</t>
  </si>
  <si>
    <r>
      <rPr>
        <sz val="10"/>
        <color rgb="FF000000"/>
        <rFont val="Noto Sans CJK SC"/>
        <family val="2"/>
      </rPr>
      <t xml:space="preserve">每約</t>
    </r>
    <r>
      <rPr>
        <sz val="10"/>
        <color rgb="FF000000"/>
        <rFont val="Microsoft JhengHei"/>
        <family val="0"/>
        <charset val="1"/>
      </rPr>
      <t xml:space="preserve">25 cm</t>
    </r>
    <r>
      <rPr>
        <sz val="10"/>
        <color rgb="FF000000"/>
        <rFont val="Noto Sans CJK SC"/>
        <family val="2"/>
      </rPr>
      <t xml:space="preserve">夾一次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夾在兩葉之間、不夾花序下。</t>
    </r>
  </si>
  <si>
    <r>
      <rPr>
        <sz val="10"/>
        <color rgb="FF000000"/>
        <rFont val="Noto Sans CJK SC"/>
        <family val="2"/>
      </rPr>
      <t xml:space="preserve">採收完果房以下葉片全摘</t>
    </r>
    <r>
      <rPr>
        <sz val="10"/>
        <color rgb="FF000000"/>
        <rFont val="Microsoft JhengHei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再摘上方</t>
    </r>
    <r>
      <rPr>
        <sz val="10"/>
        <color rgb="FF000000"/>
        <rFont val="Microsoft JhengHe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片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維持</t>
    </r>
    <r>
      <rPr>
        <sz val="10"/>
        <color rgb="FF000000"/>
        <rFont val="Microsoft JhengHei"/>
        <family val="0"/>
        <charset val="1"/>
      </rPr>
      <t xml:space="preserve">1.5–1.8 m</t>
    </r>
    <r>
      <rPr>
        <sz val="10"/>
        <color rgb="FF000000"/>
        <rFont val="Noto Sans CJK SC"/>
        <family val="2"/>
      </rPr>
      <t xml:space="preserve">葉幕。</t>
    </r>
  </si>
  <si>
    <r>
      <rPr>
        <b val="true"/>
        <sz val="10"/>
        <color rgb="FF000000"/>
        <rFont val="Noto Sans CJK SC"/>
        <family val="2"/>
      </rPr>
      <t xml:space="preserve">疏果</t>
    </r>
    <r>
      <rPr>
        <b val="true"/>
        <sz val="10"/>
        <color rgb="FF000000"/>
        <rFont val="Microsoft JhengHei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依品種</t>
    </r>
    <r>
      <rPr>
        <b val="true"/>
        <sz val="10"/>
        <color rgb="FF000000"/>
        <rFont val="Microsoft JhengHei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</si>
  <si>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小果每穗留</t>
    </r>
    <r>
      <rPr>
        <sz val="10"/>
        <color rgb="FF000000"/>
        <rFont val="Microsoft JhengHei"/>
        <family val="0"/>
        <charset val="1"/>
      </rPr>
      <t xml:space="preserve">8–10</t>
    </r>
    <r>
      <rPr>
        <sz val="10"/>
        <color rgb="FF000000"/>
        <rFont val="Noto Sans CJK SC"/>
        <family val="2"/>
      </rPr>
      <t xml:space="preserve">果。</t>
    </r>
  </si>
  <si>
    <t xml:space="preserve">黏紙計數與更換</t>
  </si>
  <si>
    <r>
      <rPr>
        <sz val="10"/>
        <color rgb="FF000000"/>
        <rFont val="Noto Sans CJK SC"/>
        <family val="2"/>
      </rPr>
      <t xml:space="preserve">每張黏紙計數粉蝨、薊馬、斑潛蠅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記錄隻數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蟲量少可續用。</t>
    </r>
  </si>
  <si>
    <t xml:space="preserve">S19</t>
  </si>
  <si>
    <r>
      <rPr>
        <b val="true"/>
        <sz val="10"/>
        <color rgb="FF000000"/>
        <rFont val="Noto Sans CJK SC"/>
        <family val="2"/>
      </rPr>
      <t xml:space="preserve">生長量測</t>
    </r>
    <r>
      <rPr>
        <b val="true"/>
        <sz val="10"/>
        <color rgb="FF000000"/>
        <rFont val="Microsoft JhengHei"/>
        <family val="0"/>
        <charset val="1"/>
      </rPr>
      <t xml:space="preserve">10</t>
    </r>
    <r>
      <rPr>
        <b val="true"/>
        <sz val="10"/>
        <color rgb="FF000000"/>
        <rFont val="Noto Sans CJK SC"/>
        <family val="2"/>
      </rPr>
      <t xml:space="preserve">株</t>
    </r>
  </si>
  <si>
    <t xml:space="preserve">莖徑、花距、新開花序數、著果數。</t>
  </si>
  <si>
    <r>
      <rPr>
        <sz val="10"/>
        <color rgb="FF000000"/>
        <rFont val="Noto Sans CJK SC"/>
        <family val="2"/>
      </rPr>
      <t xml:space="preserve">紅熟且硬度高、糖度≥</t>
    </r>
    <r>
      <rPr>
        <sz val="10"/>
        <color rgb="FF000000"/>
        <rFont val="Microsoft JhengHei"/>
        <family val="0"/>
        <charset val="1"/>
      </rPr>
      <t xml:space="preserve">7°Brix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</si>
  <si>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Microsoft JhengHei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S12</t>
    </r>
  </si>
  <si>
    <r>
      <rPr>
        <sz val="10"/>
        <color rgb="FF000000"/>
        <rFont val="Noto Sans CJK SC"/>
        <family val="2"/>
      </rPr>
      <t xml:space="preserve">每週</t>
    </r>
    <r>
      <rPr>
        <sz val="10"/>
        <color rgb="FF000000"/>
        <rFont val="Microsoft JhengHei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若採</t>
    </r>
    <r>
      <rPr>
        <sz val="10"/>
        <color rgb="FF000000"/>
        <rFont val="Microsoft JhengHei"/>
        <family val="0"/>
        <charset val="1"/>
      </rPr>
      <t xml:space="preserve">)</t>
    </r>
  </si>
  <si>
    <t xml:space="preserve">振動授粉</t>
  </si>
  <si>
    <r>
      <rPr>
        <sz val="10"/>
        <color rgb="FF000000"/>
        <rFont val="Microsoft JhengHei"/>
        <family val="0"/>
        <charset val="1"/>
      </rPr>
      <t xml:space="preserve">RH 60–70%</t>
    </r>
    <r>
      <rPr>
        <sz val="10"/>
        <color rgb="FF000000"/>
        <rFont val="Noto Sans CJK SC"/>
        <family val="2"/>
      </rPr>
      <t xml:space="preserve">時效果最好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陰濕天每天進行。</t>
    </r>
  </si>
  <si>
    <r>
      <rPr>
        <sz val="10"/>
        <color rgb="FF000000"/>
        <rFont val="Noto Sans CJK SC"/>
        <family val="2"/>
      </rPr>
      <t xml:space="preserve">冬</t>
    </r>
    <r>
      <rPr>
        <sz val="10"/>
        <color rgb="FF000000"/>
        <rFont val="Microsoft JhengHei"/>
        <family val="0"/>
        <charset val="1"/>
      </rPr>
      <t xml:space="preserve">6–7</t>
    </r>
    <r>
      <rPr>
        <sz val="10"/>
        <color rgb="FF000000"/>
        <rFont val="Noto Sans CJK SC"/>
        <family val="2"/>
      </rPr>
      <t xml:space="preserve">天</t>
    </r>
    <r>
      <rPr>
        <sz val="10"/>
        <color rgb="FF000000"/>
        <rFont val="Microsoft JhengHe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夏</t>
    </r>
    <r>
      <rPr>
        <sz val="10"/>
        <color rgb="FF000000"/>
        <rFont val="Microsoft JhengHei"/>
        <family val="0"/>
        <charset val="1"/>
      </rPr>
      <t xml:space="preserve">4–5</t>
    </r>
    <r>
      <rPr>
        <sz val="10"/>
        <color rgb="FF000000"/>
        <rFont val="Noto Sans CJK SC"/>
        <family val="2"/>
      </rPr>
      <t xml:space="preserve">天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若採</t>
    </r>
    <r>
      <rPr>
        <sz val="10"/>
        <color rgb="FF000000"/>
        <rFont val="Microsoft JhengHei"/>
        <family val="0"/>
        <charset val="1"/>
      </rPr>
      <t xml:space="preserve">)</t>
    </r>
  </si>
  <si>
    <t xml:space="preserve">生長調節劑噴花</t>
  </si>
  <si>
    <r>
      <rPr>
        <sz val="10"/>
        <color rgb="FF000000"/>
        <rFont val="Noto Sans CJK SC"/>
        <family val="2"/>
      </rPr>
      <t xml:space="preserve">花序</t>
    </r>
    <r>
      <rPr>
        <sz val="10"/>
        <color rgb="FF000000"/>
        <rFont val="Microsoft JhengHei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朵花盛開時處理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依溫度調整倍數。</t>
    </r>
  </si>
  <si>
    <r>
      <rPr>
        <sz val="10"/>
        <color rgb="FF000000"/>
        <rFont val="Microsoft JhengHei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S4</t>
    </r>
  </si>
  <si>
    <r>
      <rPr>
        <sz val="10"/>
        <color rgb="FF000000"/>
        <rFont val="Noto Sans CJK SC"/>
        <family val="2"/>
      </rPr>
      <t xml:space="preserve">每</t>
    </r>
    <r>
      <rPr>
        <sz val="10"/>
        <color rgb="FF000000"/>
        <rFont val="Microsoft JhengHei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週</t>
    </r>
  </si>
  <si>
    <t xml:space="preserve">依「參數與用量計算」追肥日程與用量。</t>
  </si>
  <si>
    <t xml:space="preserve">每月</t>
  </si>
  <si>
    <t xml:space="preserve">冷藏設施維修檢查</t>
  </si>
  <si>
    <t xml:space="preserve">檢查溫控、門封、除霜。</t>
  </si>
  <si>
    <t xml:space="preserve">熊蜂蜂群評估</t>
  </si>
  <si>
    <r>
      <rPr>
        <sz val="10"/>
        <color rgb="FF000000"/>
        <rFont val="Noto Sans CJK SC"/>
        <family val="2"/>
      </rPr>
      <t xml:space="preserve">蜂群活躍期約</t>
    </r>
    <r>
      <rPr>
        <sz val="10"/>
        <color rgb="FF000000"/>
        <rFont val="Microsoft JhengHei"/>
        <family val="0"/>
        <charset val="1"/>
      </rPr>
      <t xml:space="preserve">6–8</t>
    </r>
    <r>
      <rPr>
        <sz val="10"/>
        <color rgb="FF000000"/>
        <rFont val="Noto Sans CJK SC"/>
        <family val="2"/>
      </rPr>
      <t xml:space="preserve">週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依咬痕狀況提早訂下一箱。</t>
    </r>
  </si>
  <si>
    <r>
      <rPr>
        <sz val="10"/>
        <color rgb="FF000000"/>
        <rFont val="Microsoft JhengHei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S18</t>
    </r>
  </si>
  <si>
    <t xml:space="preserve">土壤檢測、農藥殘留檢驗</t>
  </si>
  <si>
    <r>
      <rPr>
        <sz val="10"/>
        <color rgb="FF000000"/>
        <rFont val="Noto Sans CJK SC"/>
        <family val="2"/>
      </rPr>
      <t xml:space="preserve">作前作後驗土</t>
    </r>
    <r>
      <rPr>
        <sz val="10"/>
        <color rgb="FF000000"/>
        <rFont val="Microsoft JhengHei"/>
        <family val="0"/>
        <charset val="1"/>
      </rPr>
      <t xml:space="preserve">(pH 5.6–7.0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EC≤2.0 dS/m);</t>
    </r>
    <r>
      <rPr>
        <sz val="10"/>
        <color rgb="FF000000"/>
        <rFont val="Noto Sans CJK SC"/>
        <family val="2"/>
      </rPr>
      <t xml:space="preserve">果實殘留檢驗至少</t>
    </r>
    <r>
      <rPr>
        <sz val="10"/>
        <color rgb="FF000000"/>
        <rFont val="Microsoft JhengHe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次。</t>
    </r>
  </si>
  <si>
    <r>
      <rPr>
        <sz val="10"/>
        <color rgb="FF000000"/>
        <rFont val="Noto Sans CJK SC"/>
        <family val="2"/>
      </rPr>
      <t xml:space="preserve">每年</t>
    </r>
    <r>
      <rPr>
        <sz val="10"/>
        <color rgb="FF000000"/>
        <rFont val="Microsoft JhengHe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每</t>
    </r>
    <r>
      <rPr>
        <sz val="10"/>
        <color rgb="FF000000"/>
        <rFont val="Microsoft JhengHei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年</t>
    </r>
  </si>
  <si>
    <r>
      <rPr>
        <b val="true"/>
        <sz val="10"/>
        <color rgb="FF000000"/>
        <rFont val="Noto Sans CJK SC"/>
        <family val="2"/>
      </rPr>
      <t xml:space="preserve">人員健康檢查</t>
    </r>
    <r>
      <rPr>
        <b val="true"/>
        <sz val="10"/>
        <color rgb="FF000000"/>
        <rFont val="Microsoft JhengHei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安全用藥講習</t>
    </r>
  </si>
  <si>
    <r>
      <rPr>
        <sz val="10"/>
        <color rgb="FF000000"/>
        <rFont val="Noto Sans CJK SC"/>
        <family val="2"/>
      </rPr>
      <t xml:space="preserve">健康檢查每年</t>
    </r>
    <r>
      <rPr>
        <sz val="10"/>
        <color rgb="FF000000"/>
        <rFont val="Microsoft JhengHe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安全用藥講習</t>
    </r>
    <r>
      <rPr>
        <sz val="10"/>
        <color rgb="FF000000"/>
        <rFont val="Microsoft JhengHei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Microsoft JhengHe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次。</t>
    </r>
  </si>
  <si>
    <t xml:space="preserve">管理數值標準</t>
  </si>
  <si>
    <r>
      <rPr>
        <sz val="10"/>
        <color rgb="FF595959"/>
        <rFont val="Noto Sans CJK SC"/>
        <family val="2"/>
      </rPr>
      <t xml:space="preserve">國內</t>
    </r>
    <r>
      <rPr>
        <sz val="10"/>
        <color rgb="FF595959"/>
        <rFont val="Microsoft JhengHei"/>
        <family val="0"/>
        <charset val="1"/>
      </rPr>
      <t xml:space="preserve">=</t>
    </r>
    <r>
      <rPr>
        <sz val="10"/>
        <color rgb="FF595959"/>
        <rFont val="Noto Sans CJK SC"/>
        <family val="2"/>
      </rPr>
      <t xml:space="preserve">臺灣改良場</t>
    </r>
    <r>
      <rPr>
        <sz val="10"/>
        <color rgb="FF595959"/>
        <rFont val="Microsoft JhengHei"/>
        <family val="0"/>
        <charset val="1"/>
      </rPr>
      <t xml:space="preserve">/</t>
    </r>
    <r>
      <rPr>
        <sz val="10"/>
        <color rgb="FF595959"/>
        <rFont val="Noto Sans CJK SC"/>
        <family val="2"/>
      </rPr>
      <t xml:space="preserve">農業部資料</t>
    </r>
    <r>
      <rPr>
        <sz val="10"/>
        <color rgb="FF595959"/>
        <rFont val="Microsoft JhengHei"/>
        <family val="0"/>
        <charset val="1"/>
      </rPr>
      <t xml:space="preserve">;</t>
    </r>
    <r>
      <rPr>
        <sz val="10"/>
        <color rgb="FF595959"/>
        <rFont val="Noto Sans CJK SC"/>
        <family val="2"/>
      </rPr>
      <t xml:space="preserve">國外</t>
    </r>
    <r>
      <rPr>
        <sz val="10"/>
        <color rgb="FF595959"/>
        <rFont val="Microsoft JhengHei"/>
        <family val="0"/>
        <charset val="1"/>
      </rPr>
      <t xml:space="preserve">=</t>
    </r>
    <r>
      <rPr>
        <sz val="10"/>
        <color rgb="FF595959"/>
        <rFont val="Noto Sans CJK SC"/>
        <family val="2"/>
      </rPr>
      <t xml:space="preserve">美國推廣單位、荷蘭資材商、國際文獻</t>
    </r>
    <r>
      <rPr>
        <sz val="10"/>
        <color rgb="FF595959"/>
        <rFont val="Microsoft JhengHei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多為介質栽培</t>
    </r>
    <r>
      <rPr>
        <sz val="10"/>
        <color rgb="FF595959"/>
        <rFont val="Microsoft JhengHei"/>
        <family val="0"/>
        <charset val="1"/>
      </rPr>
      <t xml:space="preserve">,</t>
    </r>
    <r>
      <rPr>
        <sz val="10"/>
        <color rgb="FF595959"/>
        <rFont val="Noto Sans CJK SC"/>
        <family val="2"/>
      </rPr>
      <t xml:space="preserve">請當參考</t>
    </r>
    <r>
      <rPr>
        <sz val="10"/>
        <color rgb="FF595959"/>
        <rFont val="Microsoft JhengHei"/>
        <family val="0"/>
        <charset val="1"/>
      </rPr>
      <t xml:space="preserve">)</t>
    </r>
  </si>
  <si>
    <t xml:space="preserve">類別</t>
  </si>
  <si>
    <r>
      <rPr>
        <b val="true"/>
        <sz val="10"/>
        <color rgb="FFFFFFFF"/>
        <rFont val="Noto Sans CJK SC"/>
        <family val="2"/>
      </rPr>
      <t xml:space="preserve">數值 </t>
    </r>
    <r>
      <rPr>
        <b val="true"/>
        <sz val="10"/>
        <color rgb="FFFFFFFF"/>
        <rFont val="Microsoft JhengHei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做法</t>
    </r>
  </si>
  <si>
    <t xml:space="preserve">適用時期</t>
  </si>
  <si>
    <r>
      <rPr>
        <b val="true"/>
        <sz val="10"/>
        <color rgb="FFFFFFFF"/>
        <rFont val="Noto Sans CJK SC"/>
        <family val="2"/>
      </rPr>
      <t xml:space="preserve">國內</t>
    </r>
    <r>
      <rPr>
        <b val="true"/>
        <sz val="10"/>
        <color rgb="FFFFFFFF"/>
        <rFont val="Microsoft JhengHei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國外</t>
    </r>
  </si>
  <si>
    <t xml:space="preserve">溫度</t>
  </si>
  <si>
    <t xml:space="preserve">最適生長溫度</t>
  </si>
  <si>
    <t xml:space="preserve">20–25°C</t>
  </si>
  <si>
    <t xml:space="preserve">全期</t>
  </si>
  <si>
    <t xml:space="preserve">國內</t>
  </si>
  <si>
    <t xml:space="preserve">高溫障礙</t>
  </si>
  <si>
    <r>
      <rPr>
        <sz val="10"/>
        <color rgb="FF000000"/>
        <rFont val="Noto Sans CJK SC"/>
        <family val="2"/>
      </rPr>
      <t xml:space="preserve">日溫高於</t>
    </r>
    <r>
      <rPr>
        <sz val="10"/>
        <color rgb="FF000000"/>
        <rFont val="Microsoft JhengHei"/>
        <family val="0"/>
        <charset val="1"/>
      </rPr>
      <t xml:space="preserve">26°C</t>
    </r>
    <r>
      <rPr>
        <sz val="10"/>
        <color rgb="FF000000"/>
        <rFont val="Noto Sans CJK SC"/>
        <family val="2"/>
      </rPr>
      <t xml:space="preserve">、夜溫超過</t>
    </r>
    <r>
      <rPr>
        <sz val="10"/>
        <color rgb="FF000000"/>
        <rFont val="Microsoft JhengHei"/>
        <family val="0"/>
        <charset val="1"/>
      </rPr>
      <t xml:space="preserve">20°C;</t>
    </r>
    <r>
      <rPr>
        <sz val="10"/>
        <color rgb="FF000000"/>
        <rFont val="Noto Sans CJK SC"/>
        <family val="2"/>
      </rPr>
      <t xml:space="preserve">設施內白天常超過</t>
    </r>
    <r>
      <rPr>
        <sz val="10"/>
        <color rgb="FF000000"/>
        <rFont val="Microsoft JhengHei"/>
        <family val="0"/>
        <charset val="1"/>
      </rPr>
      <t xml:space="preserve">35°C;30°C</t>
    </r>
    <r>
      <rPr>
        <sz val="10"/>
        <color rgb="FF000000"/>
        <rFont val="Noto Sans CJK SC"/>
        <family val="2"/>
      </rPr>
      <t xml:space="preserve">以上花粉管發育受阻</t>
    </r>
  </si>
  <si>
    <t xml:space="preserve">開花適溫</t>
  </si>
  <si>
    <r>
      <rPr>
        <sz val="10"/>
        <color rgb="FF000000"/>
        <rFont val="Microsoft JhengHei"/>
        <family val="0"/>
        <charset val="1"/>
      </rPr>
      <t xml:space="preserve">20–30°C;15°C</t>
    </r>
    <r>
      <rPr>
        <sz val="10"/>
        <color rgb="FF000000"/>
        <rFont val="Noto Sans CJK SC"/>
        <family val="2"/>
      </rPr>
      <t xml:space="preserve">花粉發育不良</t>
    </r>
    <r>
      <rPr>
        <sz val="10"/>
        <color rgb="FF000000"/>
        <rFont val="Microsoft JhengHei"/>
        <family val="0"/>
        <charset val="1"/>
      </rPr>
      <t xml:space="preserve">;10°C</t>
    </r>
    <r>
      <rPr>
        <sz val="10"/>
        <color rgb="FF000000"/>
        <rFont val="Noto Sans CJK SC"/>
        <family val="2"/>
      </rPr>
      <t xml:space="preserve">以下授精不良大量落花</t>
    </r>
    <r>
      <rPr>
        <sz val="10"/>
        <color rgb="FF000000"/>
        <rFont val="Microsoft JhengHei"/>
        <family val="0"/>
        <charset val="1"/>
      </rPr>
      <t xml:space="preserve">;35°C</t>
    </r>
    <r>
      <rPr>
        <sz val="10"/>
        <color rgb="FF000000"/>
        <rFont val="Noto Sans CJK SC"/>
        <family val="2"/>
      </rPr>
      <t xml:space="preserve">以上妨礙雌雄蕊發育</t>
    </r>
  </si>
  <si>
    <t xml:space="preserve">開花期</t>
  </si>
  <si>
    <t xml:space="preserve">S9</t>
  </si>
  <si>
    <r>
      <rPr>
        <b val="true"/>
        <sz val="10"/>
        <color rgb="FF000000"/>
        <rFont val="Noto Sans CJK SC"/>
        <family val="2"/>
      </rPr>
      <t xml:space="preserve">生產期日</t>
    </r>
    <r>
      <rPr>
        <b val="true"/>
        <sz val="10"/>
        <color rgb="FF000000"/>
        <rFont val="Microsoft JhengHei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夜溫</t>
    </r>
  </si>
  <si>
    <r>
      <rPr>
        <sz val="10"/>
        <color rgb="FF000000"/>
        <rFont val="Noto Sans CJK SC"/>
        <family val="2"/>
      </rPr>
      <t xml:space="preserve">白天</t>
    </r>
    <r>
      <rPr>
        <sz val="10"/>
        <color rgb="FF000000"/>
        <rFont val="Microsoft JhengHei"/>
        <family val="0"/>
        <charset val="1"/>
      </rPr>
      <t xml:space="preserve">21–27°C</t>
    </r>
    <r>
      <rPr>
        <sz val="10"/>
        <color rgb="FF000000"/>
        <rFont val="Noto Sans CJK SC"/>
        <family val="2"/>
      </rPr>
      <t xml:space="preserve">、夜間</t>
    </r>
    <r>
      <rPr>
        <sz val="10"/>
        <color rgb="FF000000"/>
        <rFont val="Microsoft JhengHei"/>
        <family val="0"/>
        <charset val="1"/>
      </rPr>
      <t xml:space="preserve">17–18°C;</t>
    </r>
    <r>
      <rPr>
        <sz val="10"/>
        <color rgb="FF000000"/>
        <rFont val="Noto Sans CJK SC"/>
        <family val="2"/>
      </rPr>
      <t xml:space="preserve">成株白天</t>
    </r>
    <r>
      <rPr>
        <sz val="10"/>
        <color rgb="FF000000"/>
        <rFont val="Microsoft JhengHei"/>
        <family val="0"/>
        <charset val="1"/>
      </rPr>
      <t xml:space="preserve">20–22°C</t>
    </r>
    <r>
      <rPr>
        <sz val="10"/>
        <color rgb="FF000000"/>
        <rFont val="Noto Sans CJK SC"/>
        <family val="2"/>
      </rPr>
      <t xml:space="preserve">、夜間</t>
    </r>
    <r>
      <rPr>
        <sz val="10"/>
        <color rgb="FF000000"/>
        <rFont val="Microsoft JhengHei"/>
        <family val="0"/>
        <charset val="1"/>
      </rPr>
      <t xml:space="preserve">17–19°C;30°C</t>
    </r>
    <r>
      <rPr>
        <sz val="10"/>
        <color rgb="FF000000"/>
        <rFont val="Noto Sans CJK SC"/>
        <family val="2"/>
      </rPr>
      <t xml:space="preserve">以上茄紅素形成受阻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轉色不良</t>
    </r>
    <r>
      <rPr>
        <sz val="10"/>
        <color rgb="FF000000"/>
        <rFont val="Microsoft JhengHei"/>
        <family val="0"/>
        <charset val="1"/>
      </rPr>
      <t xml:space="preserve">)</t>
    </r>
  </si>
  <si>
    <t xml:space="preserve">結果期</t>
  </si>
  <si>
    <t xml:space="preserve">國外</t>
  </si>
  <si>
    <t xml:space="preserve">夜溫依日照調整</t>
  </si>
  <si>
    <r>
      <rPr>
        <sz val="10"/>
        <color rgb="FF000000"/>
        <rFont val="Noto Sans CJK SC"/>
        <family val="2"/>
      </rPr>
      <t xml:space="preserve">晴天後夜溫</t>
    </r>
    <r>
      <rPr>
        <sz val="10"/>
        <color rgb="FF000000"/>
        <rFont val="Microsoft JhengHei"/>
        <family val="0"/>
        <charset val="1"/>
      </rPr>
      <t xml:space="preserve">17–18°C(62–65°F);</t>
    </r>
    <r>
      <rPr>
        <sz val="10"/>
        <color rgb="FF000000"/>
        <rFont val="Noto Sans CJK SC"/>
        <family val="2"/>
      </rPr>
      <t xml:space="preserve">陰天後</t>
    </r>
    <r>
      <rPr>
        <sz val="10"/>
        <color rgb="FF000000"/>
        <rFont val="Microsoft JhengHei"/>
        <family val="0"/>
        <charset val="1"/>
      </rPr>
      <t xml:space="preserve">16–17°C(60–62°F);</t>
    </r>
    <r>
      <rPr>
        <sz val="10"/>
        <color rgb="FF000000"/>
        <rFont val="Noto Sans CJK SC"/>
        <family val="2"/>
      </rPr>
      <t xml:space="preserve">低於</t>
    </r>
    <r>
      <rPr>
        <sz val="10"/>
        <color rgb="FF000000"/>
        <rFont val="Microsoft JhengHei"/>
        <family val="0"/>
        <charset val="1"/>
      </rPr>
      <t xml:space="preserve">13°C</t>
    </r>
    <r>
      <rPr>
        <sz val="10"/>
        <color rgb="FF000000"/>
        <rFont val="Noto Sans CJK SC"/>
        <family val="2"/>
      </rPr>
      <t xml:space="preserve">或高於</t>
    </r>
    <r>
      <rPr>
        <sz val="10"/>
        <color rgb="FF000000"/>
        <rFont val="Microsoft JhengHei"/>
        <family val="0"/>
        <charset val="1"/>
      </rPr>
      <t xml:space="preserve">35°C</t>
    </r>
    <r>
      <rPr>
        <sz val="10"/>
        <color rgb="FF000000"/>
        <rFont val="Noto Sans CJK SC"/>
        <family val="2"/>
      </rPr>
      <t xml:space="preserve">會落花</t>
    </r>
  </si>
  <si>
    <t xml:space="preserve">定植後溫度</t>
  </si>
  <si>
    <r>
      <rPr>
        <sz val="10"/>
        <color rgb="FF000000"/>
        <rFont val="Noto Sans CJK SC"/>
        <family val="2"/>
      </rPr>
      <t xml:space="preserve">定植後</t>
    </r>
    <r>
      <rPr>
        <sz val="10"/>
        <color rgb="FF000000"/>
        <rFont val="Microsoft JhengHei"/>
        <family val="0"/>
        <charset val="1"/>
      </rPr>
      <t xml:space="preserve">24°C</t>
    </r>
    <r>
      <rPr>
        <sz val="10"/>
        <color rgb="FF000000"/>
        <rFont val="Noto Sans CJK SC"/>
        <family val="2"/>
      </rPr>
      <t xml:space="preserve">維持</t>
    </r>
    <r>
      <rPr>
        <sz val="10"/>
        <color rgb="FF000000"/>
        <rFont val="Microsoft JhengHei"/>
        <family val="0"/>
        <charset val="1"/>
      </rPr>
      <t xml:space="preserve">1–2</t>
    </r>
    <r>
      <rPr>
        <sz val="10"/>
        <color rgb="FF000000"/>
        <rFont val="Noto Sans CJK SC"/>
        <family val="2"/>
      </rPr>
      <t xml:space="preserve">天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再逐日降溫至</t>
    </r>
    <r>
      <rPr>
        <sz val="10"/>
        <color rgb="FF000000"/>
        <rFont val="Microsoft JhengHei"/>
        <family val="0"/>
        <charset val="1"/>
      </rPr>
      <t xml:space="preserve">19°C(</t>
    </r>
    <r>
      <rPr>
        <sz val="10"/>
        <color rgb="FF000000"/>
        <rFont val="Noto Sans CJK SC"/>
        <family val="2"/>
      </rPr>
      <t xml:space="preserve">可控溫溫室</t>
    </r>
    <r>
      <rPr>
        <sz val="10"/>
        <color rgb="FF000000"/>
        <rFont val="Microsoft JhengHei"/>
        <family val="0"/>
        <charset val="1"/>
      </rPr>
      <t xml:space="preserve">)</t>
    </r>
  </si>
  <si>
    <t xml:space="preserve">濕度</t>
  </si>
  <si>
    <t xml:space="preserve">相對濕度</t>
  </si>
  <si>
    <r>
      <rPr>
        <sz val="10"/>
        <color rgb="FF000000"/>
        <rFont val="Noto Sans CJK SC"/>
        <family val="2"/>
      </rPr>
      <t xml:space="preserve">最適</t>
    </r>
    <r>
      <rPr>
        <sz val="10"/>
        <color rgb="FF000000"/>
        <rFont val="Microsoft JhengHei"/>
        <family val="0"/>
        <charset val="1"/>
      </rPr>
      <t xml:space="preserve">50–70%;</t>
    </r>
    <r>
      <rPr>
        <sz val="10"/>
        <color rgb="FF000000"/>
        <rFont val="Noto Sans CJK SC"/>
        <family val="2"/>
      </rPr>
      <t xml:space="preserve">不超過</t>
    </r>
    <r>
      <rPr>
        <sz val="10"/>
        <color rgb="FF000000"/>
        <rFont val="Microsoft JhengHei"/>
        <family val="0"/>
        <charset val="1"/>
      </rPr>
      <t xml:space="preserve">85–90%</t>
    </r>
    <r>
      <rPr>
        <sz val="10"/>
        <color rgb="FF000000"/>
        <rFont val="Noto Sans CJK SC"/>
        <family val="2"/>
      </rPr>
      <t xml:space="preserve">以免葉部病害</t>
    </r>
  </si>
  <si>
    <r>
      <rPr>
        <sz val="10"/>
        <color rgb="FF000000"/>
        <rFont val="Microsoft JhengHei"/>
        <family val="0"/>
        <charset val="1"/>
      </rPr>
      <t xml:space="preserve">S16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S13</t>
    </r>
  </si>
  <si>
    <t xml:space="preserve">授粉濕度</t>
  </si>
  <si>
    <r>
      <rPr>
        <sz val="10"/>
        <color rgb="FF000000"/>
        <rFont val="Microsoft JhengHei"/>
        <family val="0"/>
        <charset val="1"/>
      </rPr>
      <t xml:space="preserve">RH</t>
    </r>
    <r>
      <rPr>
        <sz val="10"/>
        <color rgb="FF000000"/>
        <rFont val="Noto Sans CJK SC"/>
        <family val="2"/>
      </rPr>
      <t xml:space="preserve">約</t>
    </r>
    <r>
      <rPr>
        <sz val="10"/>
        <color rgb="FF000000"/>
        <rFont val="Microsoft JhengHei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最佳</t>
    </r>
    <r>
      <rPr>
        <sz val="10"/>
        <color rgb="FF000000"/>
        <rFont val="Microsoft JhengHei"/>
        <family val="0"/>
        <charset val="1"/>
      </rPr>
      <t xml:space="preserve">;&gt;80%</t>
    </r>
    <r>
      <rPr>
        <sz val="10"/>
        <color rgb="FF000000"/>
        <rFont val="Noto Sans CJK SC"/>
        <family val="2"/>
      </rPr>
      <t xml:space="preserve">花粉黏結、</t>
    </r>
    <r>
      <rPr>
        <sz val="10"/>
        <color rgb="FF000000"/>
        <rFont val="Microsoft JhengHei"/>
        <family val="0"/>
        <charset val="1"/>
      </rPr>
      <t xml:space="preserve">&lt;60%</t>
    </r>
    <r>
      <rPr>
        <sz val="10"/>
        <color rgb="FF000000"/>
        <rFont val="Noto Sans CJK SC"/>
        <family val="2"/>
      </rPr>
      <t xml:space="preserve">柱頭乾燥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熊蜂授粉花粉釋放</t>
    </r>
    <r>
      <rPr>
        <sz val="10"/>
        <color rgb="FF000000"/>
        <rFont val="Microsoft JhengHei"/>
        <family val="0"/>
        <charset val="1"/>
      </rPr>
      <t xml:space="preserve">RH 50–80%</t>
    </r>
  </si>
  <si>
    <r>
      <rPr>
        <sz val="10"/>
        <color rgb="FF000000"/>
        <rFont val="Microsoft JhengHei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S18</t>
    </r>
  </si>
  <si>
    <r>
      <rPr>
        <b val="true"/>
        <sz val="10"/>
        <color rgb="FF000000"/>
        <rFont val="Noto Sans CJK SC"/>
        <family val="2"/>
      </rPr>
      <t xml:space="preserve">飽差</t>
    </r>
    <r>
      <rPr>
        <b val="true"/>
        <sz val="10"/>
        <color rgb="FF000000"/>
        <rFont val="Microsoft JhengHei"/>
        <family val="0"/>
        <charset val="1"/>
      </rPr>
      <t xml:space="preserve">VPD</t>
    </r>
  </si>
  <si>
    <t xml:space="preserve">0.4–0.8 kPa</t>
  </si>
  <si>
    <t xml:space="preserve">S16</t>
  </si>
  <si>
    <t xml:space="preserve">土壤</t>
  </si>
  <si>
    <t xml:space="preserve">pH / EC</t>
  </si>
  <si>
    <r>
      <rPr>
        <sz val="10"/>
        <color rgb="FF000000"/>
        <rFont val="Microsoft JhengHei"/>
        <family val="0"/>
        <charset val="1"/>
      </rPr>
      <t xml:space="preserve">pH 5.6–7.0;EC</t>
    </r>
    <r>
      <rPr>
        <sz val="10"/>
        <color rgb="FF000000"/>
        <rFont val="Noto Sans CJK SC"/>
        <family val="2"/>
      </rPr>
      <t xml:space="preserve">不超過</t>
    </r>
    <r>
      <rPr>
        <sz val="10"/>
        <color rgb="FF000000"/>
        <rFont val="Microsoft JhengHei"/>
        <family val="0"/>
        <charset val="1"/>
      </rPr>
      <t xml:space="preserve">2.0 dS/m</t>
    </r>
  </si>
  <si>
    <t xml:space="preserve">作前</t>
  </si>
  <si>
    <t xml:space="preserve">鹽化改良</t>
  </si>
  <si>
    <r>
      <rPr>
        <sz val="10"/>
        <color rgb="FF000000"/>
        <rFont val="Noto Sans CJK SC"/>
        <family val="2"/>
      </rPr>
      <t xml:space="preserve">低養分纖維質堆肥</t>
    </r>
    <r>
      <rPr>
        <sz val="10"/>
        <color rgb="FF000000"/>
        <rFont val="Microsoft JhengHei"/>
        <family val="0"/>
        <charset val="1"/>
      </rPr>
      <t xml:space="preserve">10–20</t>
    </r>
    <r>
      <rPr>
        <sz val="10"/>
        <color rgb="FF000000"/>
        <rFont val="Noto Sans CJK SC"/>
        <family val="2"/>
      </rPr>
      <t xml:space="preserve">公噸</t>
    </r>
    <r>
      <rPr>
        <sz val="10"/>
        <color rgb="FF000000"/>
        <rFont val="Microsoft JhengHe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公頃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或稻草約</t>
    </r>
    <r>
      <rPr>
        <sz val="10"/>
        <color rgb="FF000000"/>
        <rFont val="Microsoft JhengHe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公噸</t>
    </r>
    <r>
      <rPr>
        <sz val="10"/>
        <color rgb="FF000000"/>
        <rFont val="Microsoft JhengHe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分地</t>
    </r>
    <r>
      <rPr>
        <sz val="10"/>
        <color rgb="FF000000"/>
        <rFont val="Microsoft JhengHei"/>
        <family val="0"/>
        <charset val="1"/>
      </rPr>
      <t xml:space="preserve">(1</t>
    </r>
    <r>
      <rPr>
        <sz val="10"/>
        <color rgb="FF000000"/>
        <rFont val="Noto Sans CJK SC"/>
        <family val="2"/>
      </rPr>
      <t xml:space="preserve">個月以上分解</t>
    </r>
    <r>
      <rPr>
        <sz val="10"/>
        <color rgb="FF000000"/>
        <rFont val="Microsoft JhengHei"/>
        <family val="0"/>
        <charset val="1"/>
      </rPr>
      <t xml:space="preserve">);</t>
    </r>
    <r>
      <rPr>
        <sz val="10"/>
        <color rgb="FF000000"/>
        <rFont val="Noto Sans CJK SC"/>
        <family val="2"/>
      </rPr>
      <t xml:space="preserve">暗渠排水埋深</t>
    </r>
    <r>
      <rPr>
        <sz val="10"/>
        <color rgb="FF000000"/>
        <rFont val="Microsoft JhengHei"/>
        <family val="0"/>
        <charset val="1"/>
      </rPr>
      <t xml:space="preserve">60–80 cm</t>
    </r>
  </si>
  <si>
    <t xml:space="preserve">休閒期</t>
  </si>
  <si>
    <t xml:space="preserve">S10</t>
  </si>
  <si>
    <t xml:space="preserve">施肥</t>
  </si>
  <si>
    <t xml:space="preserve">三要素總量</t>
  </si>
  <si>
    <r>
      <rPr>
        <sz val="10"/>
        <color rgb="FF000000"/>
        <rFont val="Microsoft JhengHei"/>
        <family val="0"/>
        <charset val="1"/>
      </rPr>
      <t xml:space="preserve">N 200–250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P₂O₅ 150–200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K₂O 120–180 kg/</t>
    </r>
    <r>
      <rPr>
        <sz val="10"/>
        <color rgb="FF000000"/>
        <rFont val="Noto Sans CJK SC"/>
        <family val="2"/>
      </rPr>
      <t xml:space="preserve">公頃</t>
    </r>
  </si>
  <si>
    <t xml:space="preserve">三要素比例</t>
  </si>
  <si>
    <r>
      <rPr>
        <sz val="10"/>
        <color rgb="FF000000"/>
        <rFont val="Noto Sans CJK SC"/>
        <family val="2"/>
      </rPr>
      <t xml:space="preserve">生育初期</t>
    </r>
    <r>
      <rPr>
        <sz val="10"/>
        <color rgb="FF000000"/>
        <rFont val="Microsoft JhengHei"/>
        <family val="0"/>
        <charset val="1"/>
      </rPr>
      <t xml:space="preserve">N:P₂O₅:K₂O≈6:1:4;</t>
    </r>
    <r>
      <rPr>
        <sz val="10"/>
        <color rgb="FF000000"/>
        <rFont val="Noto Sans CJK SC"/>
        <family val="2"/>
      </rPr>
      <t xml:space="preserve">結果期≈</t>
    </r>
    <r>
      <rPr>
        <sz val="10"/>
        <color rgb="FF000000"/>
        <rFont val="Microsoft JhengHei"/>
        <family val="0"/>
        <charset val="1"/>
      </rPr>
      <t xml:space="preserve">3:1:2</t>
    </r>
  </si>
  <si>
    <t xml:space="preserve">分期</t>
  </si>
  <si>
    <r>
      <rPr>
        <b val="true"/>
        <sz val="10"/>
        <color rgb="FF000000"/>
        <rFont val="Noto Sans CJK SC"/>
        <family val="2"/>
      </rPr>
      <t xml:space="preserve">基肥</t>
    </r>
    <r>
      <rPr>
        <b val="true"/>
        <sz val="10"/>
        <color rgb="FF000000"/>
        <rFont val="Microsoft JhengHei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追肥分配</t>
    </r>
  </si>
  <si>
    <r>
      <rPr>
        <sz val="10"/>
        <color rgb="FF000000"/>
        <rFont val="Noto Sans CJK SC"/>
        <family val="2"/>
      </rPr>
      <t xml:space="preserve">基肥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全量磷肥、有機肥、氮鉀</t>
    </r>
    <r>
      <rPr>
        <sz val="10"/>
        <color rgb="FF000000"/>
        <rFont val="Microsoft JhengHei"/>
        <family val="0"/>
        <charset val="1"/>
      </rPr>
      <t xml:space="preserve">15–20%;</t>
    </r>
    <r>
      <rPr>
        <sz val="10"/>
        <color rgb="FF000000"/>
        <rFont val="Noto Sans CJK SC"/>
        <family val="2"/>
      </rPr>
      <t xml:space="preserve">追肥每次氮鉀各</t>
    </r>
    <r>
      <rPr>
        <sz val="10"/>
        <color rgb="FF000000"/>
        <rFont val="Microsoft JhengHei"/>
        <family val="0"/>
        <charset val="1"/>
      </rPr>
      <t xml:space="preserve">10–15%</t>
    </r>
  </si>
  <si>
    <r>
      <rPr>
        <b val="true"/>
        <sz val="10"/>
        <color rgb="FF000000"/>
        <rFont val="Noto Sans CJK SC"/>
        <family val="2"/>
      </rPr>
      <t xml:space="preserve">基肥用量</t>
    </r>
    <r>
      <rPr>
        <b val="true"/>
        <sz val="10"/>
        <color rgb="FF000000"/>
        <rFont val="Microsoft JhengHei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臺南場</t>
    </r>
    <r>
      <rPr>
        <b val="true"/>
        <sz val="10"/>
        <color rgb="FF000000"/>
        <rFont val="Microsoft JhengHei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</si>
  <si>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每</t>
    </r>
    <r>
      <rPr>
        <sz val="10"/>
        <color rgb="FF000000"/>
        <rFont val="Microsoft JhengHei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公頃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堆肥</t>
    </r>
    <r>
      <rPr>
        <sz val="10"/>
        <color rgb="FF000000"/>
        <rFont val="Microsoft JhengHei"/>
        <family val="0"/>
        <charset val="1"/>
      </rPr>
      <t xml:space="preserve">300–400 kg</t>
    </r>
    <r>
      <rPr>
        <sz val="10"/>
        <color rgb="FF000000"/>
        <rFont val="Noto Sans CJK SC"/>
        <family val="2"/>
      </rPr>
      <t xml:space="preserve">、化學肥料</t>
    </r>
    <r>
      <rPr>
        <sz val="10"/>
        <color rgb="FF000000"/>
        <rFont val="Microsoft JhengHei"/>
        <family val="0"/>
        <charset val="1"/>
      </rPr>
      <t xml:space="preserve">80–120 kg</t>
    </r>
    <r>
      <rPr>
        <sz val="10"/>
        <color rgb="FF000000"/>
        <rFont val="Noto Sans CJK SC"/>
        <family val="2"/>
      </rPr>
      <t xml:space="preserve">、硼砂</t>
    </r>
    <r>
      <rPr>
        <sz val="10"/>
        <color rgb="FF000000"/>
        <rFont val="Microsoft JhengHei"/>
        <family val="0"/>
        <charset val="1"/>
      </rPr>
      <t xml:space="preserve">1 kg</t>
    </r>
  </si>
  <si>
    <t xml:space="preserve">追肥時程</t>
  </si>
  <si>
    <r>
      <rPr>
        <sz val="10"/>
        <color rgb="FF000000"/>
        <rFont val="Noto Sans CJK SC"/>
        <family val="2"/>
      </rPr>
      <t xml:space="preserve">定植後</t>
    </r>
    <r>
      <rPr>
        <sz val="10"/>
        <color rgb="FF000000"/>
        <rFont val="Microsoft JhengHei"/>
        <family val="0"/>
        <charset val="1"/>
      </rPr>
      <t xml:space="preserve">20–30</t>
    </r>
    <r>
      <rPr>
        <sz val="10"/>
        <color rgb="FF000000"/>
        <rFont val="Noto Sans CJK SC"/>
        <family val="2"/>
      </rPr>
      <t xml:space="preserve">天第一花序結果時首次追肥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之後每隔</t>
    </r>
    <r>
      <rPr>
        <sz val="10"/>
        <color rgb="FF000000"/>
        <rFont val="Microsoft JhengHei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週</t>
    </r>
  </si>
  <si>
    <t xml:space="preserve">定植後</t>
  </si>
  <si>
    <t xml:space="preserve">種苗</t>
  </si>
  <si>
    <r>
      <rPr>
        <b val="true"/>
        <sz val="10"/>
        <color rgb="FF000000"/>
        <rFont val="Noto Sans CJK SC"/>
        <family val="2"/>
      </rPr>
      <t xml:space="preserve">訂苗</t>
    </r>
    <r>
      <rPr>
        <b val="true"/>
        <sz val="10"/>
        <color rgb="FF000000"/>
        <rFont val="Microsoft JhengHei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驗苗規格</t>
    </r>
  </si>
  <si>
    <r>
      <rPr>
        <sz val="10"/>
        <color rgb="FF000000"/>
        <rFont val="Noto Sans CJK SC"/>
        <family val="2"/>
      </rPr>
      <t xml:space="preserve">苗齡四本葉</t>
    </r>
    <r>
      <rPr>
        <sz val="10"/>
        <color rgb="FF000000"/>
        <rFont val="Microsoft JhengHei"/>
        <family val="0"/>
        <charset val="1"/>
      </rPr>
      <t xml:space="preserve">(4–6</t>
    </r>
    <r>
      <rPr>
        <sz val="10"/>
        <color rgb="FF000000"/>
        <rFont val="Noto Sans CJK SC"/>
        <family val="2"/>
      </rPr>
      <t xml:space="preserve">葉</t>
    </r>
    <r>
      <rPr>
        <sz val="10"/>
        <color rgb="FF000000"/>
        <rFont val="Microsoft JhengHei"/>
        <family val="0"/>
        <charset val="1"/>
      </rPr>
      <t xml:space="preserve">);</t>
    </r>
    <r>
      <rPr>
        <sz val="10"/>
        <color rgb="FF000000"/>
        <rFont val="Noto Sans CJK SC"/>
        <family val="2"/>
      </rPr>
      <t xml:space="preserve">株高約</t>
    </r>
    <r>
      <rPr>
        <sz val="10"/>
        <color rgb="FF000000"/>
        <rFont val="Microsoft JhengHei"/>
        <family val="0"/>
        <charset val="1"/>
      </rPr>
      <t xml:space="preserve">10–15 cm;</t>
    </r>
    <r>
      <rPr>
        <sz val="10"/>
        <color rgb="FF000000"/>
        <rFont val="Noto Sans CJK SC"/>
        <family val="2"/>
      </rPr>
      <t xml:space="preserve">秋冬作</t>
    </r>
    <r>
      <rPr>
        <sz val="10"/>
        <color rgb="FF000000"/>
        <rFont val="Microsoft JhengHei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格、夏作</t>
    </r>
    <r>
      <rPr>
        <sz val="10"/>
        <color rgb="FF000000"/>
        <rFont val="Microsoft JhengHei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格穴盤苗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育苗期</t>
    </r>
    <r>
      <rPr>
        <sz val="10"/>
        <color rgb="FF000000"/>
        <rFont val="Microsoft JhengHei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目網隔離粉蝨</t>
    </r>
  </si>
  <si>
    <r>
      <rPr>
        <sz val="10"/>
        <color rgb="FF000000"/>
        <rFont val="Noto Sans CJK SC"/>
        <family val="2"/>
      </rPr>
      <t xml:space="preserve">訂苗</t>
    </r>
    <r>
      <rPr>
        <sz val="10"/>
        <color rgb="FF000000"/>
        <rFont val="Microsoft JhengHe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驗苗</t>
    </r>
  </si>
  <si>
    <r>
      <rPr>
        <sz val="10"/>
        <color rgb="FF000000"/>
        <rFont val="Noto Sans CJK SC"/>
        <family val="2"/>
      </rPr>
      <t xml:space="preserve">國內</t>
    </r>
    <r>
      <rPr>
        <sz val="10"/>
        <color rgb="FF000000"/>
        <rFont val="Microsoft JhengHe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國外</t>
    </r>
  </si>
  <si>
    <t xml:space="preserve">高溫期補鈣</t>
  </si>
  <si>
    <r>
      <rPr>
        <sz val="10"/>
        <color rgb="FF000000"/>
        <rFont val="Noto Sans CJK SC"/>
        <family val="2"/>
      </rPr>
      <t xml:space="preserve">每</t>
    </r>
    <r>
      <rPr>
        <sz val="10"/>
        <color rgb="FF000000"/>
        <rFont val="Microsoft JhengHei"/>
        <family val="0"/>
        <charset val="1"/>
      </rPr>
      <t xml:space="preserve">7–10</t>
    </r>
    <r>
      <rPr>
        <sz val="10"/>
        <color rgb="FF000000"/>
        <rFont val="Noto Sans CJK SC"/>
        <family val="2"/>
      </rPr>
      <t xml:space="preserve">天葉面噴水溶鈣</t>
    </r>
    <r>
      <rPr>
        <sz val="10"/>
        <color rgb="FF000000"/>
        <rFont val="Microsoft JhengHe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連續</t>
    </r>
    <r>
      <rPr>
        <sz val="10"/>
        <color rgb="FF000000"/>
        <rFont val="Microsoft JhengHei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次</t>
    </r>
  </si>
  <si>
    <t xml:space="preserve">灌溉</t>
  </si>
  <si>
    <r>
      <rPr>
        <b val="true"/>
        <sz val="10"/>
        <color rgb="FF000000"/>
        <rFont val="Noto Sans CJK SC"/>
        <family val="2"/>
      </rPr>
      <t xml:space="preserve">土耕滴灌</t>
    </r>
    <r>
      <rPr>
        <b val="true"/>
        <sz val="10"/>
        <color rgb="FF000000"/>
        <rFont val="Microsoft JhengHei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試驗做法</t>
    </r>
    <r>
      <rPr>
        <b val="true"/>
        <sz val="10"/>
        <color rgb="FF000000"/>
        <rFont val="Microsoft JhengHei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</si>
  <si>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生長初期每日</t>
    </r>
    <r>
      <rPr>
        <sz val="10"/>
        <color rgb="FF000000"/>
        <rFont val="Microsoft JhengHei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Microsoft JhengHei"/>
        <family val="0"/>
        <charset val="1"/>
      </rPr>
      <t xml:space="preserve">×10</t>
    </r>
    <r>
      <rPr>
        <sz val="10"/>
        <color rgb="FF000000"/>
        <rFont val="Noto Sans CJK SC"/>
        <family val="2"/>
      </rPr>
      <t xml:space="preserve">分鐘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Microsoft JhengHe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果房轉色期起每日</t>
    </r>
    <r>
      <rPr>
        <sz val="10"/>
        <color rgb="FF000000"/>
        <rFont val="Microsoft JhengHe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Microsoft JhengHei"/>
        <family val="0"/>
        <charset val="1"/>
      </rPr>
      <t xml:space="preserve">×5</t>
    </r>
    <r>
      <rPr>
        <sz val="10"/>
        <color rgb="FF000000"/>
        <rFont val="Noto Sans CJK SC"/>
        <family val="2"/>
      </rPr>
      <t xml:space="preserve">分鐘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水溶肥初期</t>
    </r>
    <r>
      <rPr>
        <sz val="10"/>
        <color rgb="FF000000"/>
        <rFont val="Microsoft JhengHei"/>
        <family val="0"/>
        <charset val="1"/>
      </rPr>
      <t xml:space="preserve">20-20-20</t>
    </r>
    <r>
      <rPr>
        <sz val="10"/>
        <color rgb="FF000000"/>
        <rFont val="Noto Sans CJK SC"/>
        <family val="2"/>
      </rPr>
      <t xml:space="preserve">、轉色期</t>
    </r>
    <r>
      <rPr>
        <sz val="10"/>
        <color rgb="FF000000"/>
        <rFont val="Microsoft JhengHei"/>
        <family val="0"/>
        <charset val="1"/>
      </rPr>
      <t xml:space="preserve">15-20-25(</t>
    </r>
    <r>
      <rPr>
        <sz val="10"/>
        <color rgb="FF000000"/>
        <rFont val="Noto Sans CJK SC"/>
        <family val="2"/>
      </rPr>
      <t xml:space="preserve">定比稀釋器</t>
    </r>
    <r>
      <rPr>
        <sz val="10"/>
        <color rgb="FF000000"/>
        <rFont val="Microsoft JhengHei"/>
        <family val="0"/>
        <charset val="1"/>
      </rPr>
      <t xml:space="preserve">500:1)</t>
    </r>
  </si>
  <si>
    <t xml:space="preserve">S3</t>
  </si>
  <si>
    <t xml:space="preserve">需水量參考</t>
  </si>
  <si>
    <r>
      <rPr>
        <sz val="10"/>
        <color rgb="FF000000"/>
        <rFont val="Noto Sans CJK SC"/>
        <family val="2"/>
      </rPr>
      <t xml:space="preserve">苗期約</t>
    </r>
    <r>
      <rPr>
        <sz val="10"/>
        <color rgb="FF000000"/>
        <rFont val="Microsoft JhengHei"/>
        <family val="0"/>
        <charset val="1"/>
      </rPr>
      <t xml:space="preserve">50 ml/</t>
    </r>
    <r>
      <rPr>
        <sz val="10"/>
        <color rgb="FF000000"/>
        <rFont val="Noto Sans CJK SC"/>
        <family val="2"/>
      </rPr>
      <t xml:space="preserve">株</t>
    </r>
    <r>
      <rPr>
        <sz val="10"/>
        <color rgb="FF000000"/>
        <rFont val="Microsoft JhengHe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成株約</t>
    </r>
    <r>
      <rPr>
        <sz val="10"/>
        <color rgb="FF000000"/>
        <rFont val="Microsoft JhengHei"/>
        <family val="0"/>
        <charset val="1"/>
      </rPr>
      <t xml:space="preserve">2 L/</t>
    </r>
    <r>
      <rPr>
        <sz val="10"/>
        <color rgb="FF000000"/>
        <rFont val="Noto Sans CJK SC"/>
        <family val="2"/>
      </rPr>
      <t xml:space="preserve">株</t>
    </r>
    <r>
      <rPr>
        <sz val="10"/>
        <color rgb="FF000000"/>
        <rFont val="Microsoft JhengHe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介質栽培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排水</t>
    </r>
    <r>
      <rPr>
        <sz val="10"/>
        <color rgb="FF000000"/>
        <rFont val="Microsoft JhengHei"/>
        <family val="0"/>
        <charset val="1"/>
      </rPr>
      <t xml:space="preserve">10–20%)</t>
    </r>
  </si>
  <si>
    <t xml:space="preserve">水分穩定</t>
  </si>
  <si>
    <r>
      <rPr>
        <sz val="10"/>
        <color rgb="FF000000"/>
        <rFont val="Noto Sans CJK SC"/>
        <family val="2"/>
      </rPr>
      <t xml:space="preserve">灌水不規則或不足會造成尻腐與裂果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以手感或土壤水分感測器判斷</t>
    </r>
  </si>
  <si>
    <t xml:space="preserve">植株</t>
  </si>
  <si>
    <t xml:space="preserve">株行距</t>
  </si>
  <si>
    <r>
      <rPr>
        <sz val="10"/>
        <color rgb="FF000000"/>
        <rFont val="Noto Sans CJK SC"/>
        <family val="2"/>
      </rPr>
      <t xml:space="preserve">春秋作行距</t>
    </r>
    <r>
      <rPr>
        <sz val="10"/>
        <color rgb="FF000000"/>
        <rFont val="Microsoft JhengHei"/>
        <family val="0"/>
        <charset val="1"/>
      </rPr>
      <t xml:space="preserve">75–150 cm</t>
    </r>
    <r>
      <rPr>
        <sz val="10"/>
        <color rgb="FF000000"/>
        <rFont val="Noto Sans CJK SC"/>
        <family val="2"/>
      </rPr>
      <t xml:space="preserve">、株距</t>
    </r>
    <r>
      <rPr>
        <sz val="10"/>
        <color rgb="FF000000"/>
        <rFont val="Microsoft JhengHei"/>
        <family val="0"/>
        <charset val="1"/>
      </rPr>
      <t xml:space="preserve">60 cm;</t>
    </r>
    <r>
      <rPr>
        <sz val="10"/>
        <color rgb="FF000000"/>
        <rFont val="Noto Sans CJK SC"/>
        <family val="2"/>
      </rPr>
      <t xml:space="preserve">夏作行距</t>
    </r>
    <r>
      <rPr>
        <sz val="10"/>
        <color rgb="FF000000"/>
        <rFont val="Microsoft JhengHei"/>
        <family val="0"/>
        <charset val="1"/>
      </rPr>
      <t xml:space="preserve">75–120 cm</t>
    </r>
    <r>
      <rPr>
        <sz val="10"/>
        <color rgb="FF000000"/>
        <rFont val="Noto Sans CJK SC"/>
        <family val="2"/>
      </rPr>
      <t xml:space="preserve">、株距</t>
    </r>
    <r>
      <rPr>
        <sz val="10"/>
        <color rgb="FF000000"/>
        <rFont val="Microsoft JhengHei"/>
        <family val="0"/>
        <charset val="1"/>
      </rPr>
      <t xml:space="preserve">45 cm</t>
    </r>
  </si>
  <si>
    <t xml:space="preserve">每幹面積</t>
  </si>
  <si>
    <r>
      <rPr>
        <sz val="10"/>
        <color rgb="FF000000"/>
        <rFont val="Microsoft JhengHei"/>
        <family val="0"/>
        <charset val="1"/>
      </rPr>
      <t xml:space="preserve">3.5–6 ft²(</t>
    </r>
    <r>
      <rPr>
        <sz val="10"/>
        <color rgb="FF000000"/>
        <rFont val="Noto Sans CJK SC"/>
        <family val="2"/>
      </rPr>
      <t xml:space="preserve">約</t>
    </r>
    <r>
      <rPr>
        <sz val="10"/>
        <color rgb="FF000000"/>
        <rFont val="Microsoft JhengHei"/>
        <family val="0"/>
        <charset val="1"/>
      </rPr>
      <t xml:space="preserve">0.33–0.56 m²)/</t>
    </r>
    <r>
      <rPr>
        <sz val="10"/>
        <color rgb="FF000000"/>
        <rFont val="Noto Sans CJK SC"/>
        <family val="2"/>
      </rPr>
      <t xml:space="preserve">幹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密度高增產但通風差易病害</t>
    </r>
  </si>
  <si>
    <t xml:space="preserve">整枝</t>
  </si>
  <si>
    <r>
      <rPr>
        <sz val="10"/>
        <color rgb="FF000000"/>
        <rFont val="Noto Sans CJK SC"/>
        <family val="2"/>
      </rPr>
      <t xml:space="preserve">雙幹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留第一花序下側枝</t>
    </r>
  </si>
  <si>
    <r>
      <rPr>
        <b val="true"/>
        <sz val="10"/>
        <color rgb="FF000000"/>
        <rFont val="Noto Sans CJK SC"/>
        <family val="2"/>
      </rPr>
      <t xml:space="preserve">誘引</t>
    </r>
    <r>
      <rPr>
        <b val="true"/>
        <sz val="10"/>
        <color rgb="FF000000"/>
        <rFont val="Microsoft JhengHei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側芽</t>
    </r>
  </si>
  <si>
    <r>
      <rPr>
        <sz val="10"/>
        <color rgb="FF000000"/>
        <rFont val="Noto Sans CJK SC"/>
        <family val="2"/>
      </rPr>
      <t xml:space="preserve">每</t>
    </r>
    <r>
      <rPr>
        <sz val="10"/>
        <color rgb="FF000000"/>
        <rFont val="Microsoft JhengHei"/>
        <family val="0"/>
        <charset val="1"/>
      </rPr>
      <t xml:space="preserve">25 cm</t>
    </r>
    <r>
      <rPr>
        <sz val="10"/>
        <color rgb="FF000000"/>
        <rFont val="Noto Sans CJK SC"/>
        <family val="2"/>
      </rPr>
      <t xml:space="preserve">夾莖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側芽</t>
    </r>
    <r>
      <rPr>
        <sz val="10"/>
        <color rgb="FF000000"/>
        <rFont val="Microsoft JhengHei"/>
        <family val="0"/>
        <charset val="1"/>
      </rPr>
      <t xml:space="preserve">5–7.5 cm</t>
    </r>
    <r>
      <rPr>
        <sz val="10"/>
        <color rgb="FF000000"/>
        <rFont val="Noto Sans CJK SC"/>
        <family val="2"/>
      </rPr>
      <t xml:space="preserve">前摘除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至少每週一次</t>
    </r>
  </si>
  <si>
    <r>
      <rPr>
        <b val="true"/>
        <sz val="10"/>
        <color rgb="FF000000"/>
        <rFont val="Noto Sans CJK SC"/>
        <family val="2"/>
      </rPr>
      <t xml:space="preserve">葉幕</t>
    </r>
    <r>
      <rPr>
        <b val="true"/>
        <sz val="10"/>
        <color rgb="FF000000"/>
        <rFont val="Microsoft JhengHei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摘葉</t>
    </r>
  </si>
  <si>
    <r>
      <rPr>
        <sz val="10"/>
        <color rgb="FF000000"/>
        <rFont val="Noto Sans CJK SC"/>
        <family val="2"/>
      </rPr>
      <t xml:space="preserve">維持</t>
    </r>
    <r>
      <rPr>
        <sz val="10"/>
        <color rgb="FF000000"/>
        <rFont val="Microsoft JhengHei"/>
        <family val="0"/>
        <charset val="1"/>
      </rPr>
      <t xml:space="preserve">1.5–1.8 m</t>
    </r>
    <r>
      <rPr>
        <sz val="10"/>
        <color rgb="FF000000"/>
        <rFont val="Noto Sans CJK SC"/>
        <family val="2"/>
      </rPr>
      <t xml:space="preserve">葉幕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摘除最低果房以下葉</t>
    </r>
    <r>
      <rPr>
        <sz val="10"/>
        <color rgb="FF000000"/>
        <rFont val="Microsoft JhengHei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上方</t>
    </r>
    <r>
      <rPr>
        <sz val="10"/>
        <color rgb="FF000000"/>
        <rFont val="Microsoft JhengHe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片</t>
    </r>
  </si>
  <si>
    <t xml:space="preserve">採收期</t>
  </si>
  <si>
    <t xml:space="preserve">留果數</t>
  </si>
  <si>
    <r>
      <rPr>
        <sz val="10"/>
        <color rgb="FF000000"/>
        <rFont val="Noto Sans CJK SC"/>
        <family val="2"/>
      </rPr>
      <t xml:space="preserve">小果每穗</t>
    </r>
    <r>
      <rPr>
        <sz val="10"/>
        <color rgb="FF000000"/>
        <rFont val="Microsoft JhengHei"/>
        <family val="0"/>
        <charset val="1"/>
      </rPr>
      <t xml:space="preserve">8–10</t>
    </r>
    <r>
      <rPr>
        <sz val="10"/>
        <color rgb="FF000000"/>
        <rFont val="Noto Sans CJK SC"/>
        <family val="2"/>
      </rPr>
      <t xml:space="preserve">果</t>
    </r>
    <r>
      <rPr>
        <sz val="10"/>
        <color rgb="FF000000"/>
        <rFont val="Microsoft JhengHei"/>
        <family val="0"/>
        <charset val="1"/>
      </rPr>
      <t xml:space="preserve">(S12)</t>
    </r>
    <r>
      <rPr>
        <sz val="10"/>
        <color rgb="FF000000"/>
        <rFont val="Noto Sans CJK SC"/>
        <family val="2"/>
      </rPr>
      <t xml:space="preserve">或</t>
    </r>
    <r>
      <rPr>
        <sz val="10"/>
        <color rgb="FF000000"/>
        <rFont val="Microsoft JhengHei"/>
        <family val="0"/>
        <charset val="1"/>
      </rPr>
      <t xml:space="preserve">8–12</t>
    </r>
    <r>
      <rPr>
        <sz val="10"/>
        <color rgb="FF000000"/>
        <rFont val="Noto Sans CJK SC"/>
        <family val="2"/>
      </rPr>
      <t xml:space="preserve">果</t>
    </r>
    <r>
      <rPr>
        <sz val="10"/>
        <color rgb="FF000000"/>
        <rFont val="Microsoft JhengHei"/>
        <family val="0"/>
        <charset val="1"/>
      </rPr>
      <t xml:space="preserve">(S14)</t>
    </r>
  </si>
  <si>
    <t xml:space="preserve">落蔓</t>
  </si>
  <si>
    <r>
      <rPr>
        <sz val="10"/>
        <color rgb="FF000000"/>
        <rFont val="Noto Sans CJK SC"/>
        <family val="2"/>
      </rPr>
      <t xml:space="preserve">小果番茄每週約</t>
    </r>
    <r>
      <rPr>
        <sz val="10"/>
        <color rgb="FF000000"/>
        <rFont val="Microsoft JhengHei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圈</t>
    </r>
  </si>
  <si>
    <r>
      <rPr>
        <sz val="10"/>
        <color rgb="FF000000"/>
        <rFont val="Noto Sans CJK SC"/>
        <family val="2"/>
      </rPr>
      <t xml:space="preserve">作期結束前</t>
    </r>
    <r>
      <rPr>
        <sz val="10"/>
        <color rgb="FF000000"/>
        <rFont val="Microsoft JhengHei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週摘頂芽</t>
    </r>
  </si>
  <si>
    <r>
      <rPr>
        <sz val="10"/>
        <color rgb="FF000000"/>
        <rFont val="Noto Sans CJK SC"/>
        <family val="2"/>
      </rPr>
      <t xml:space="preserve">每週固定株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莖徑</t>
    </r>
    <r>
      <rPr>
        <sz val="10"/>
        <color rgb="FF000000"/>
        <rFont val="Microsoft JhengHei"/>
        <family val="0"/>
        <charset val="1"/>
      </rPr>
      <t xml:space="preserve">10–12 mm</t>
    </r>
    <r>
      <rPr>
        <sz val="10"/>
        <color rgb="FF000000"/>
        <rFont val="Noto Sans CJK SC"/>
        <family val="2"/>
      </rPr>
      <t xml:space="preserve">、花距</t>
    </r>
    <r>
      <rPr>
        <sz val="10"/>
        <color rgb="FF000000"/>
        <rFont val="Microsoft JhengHei"/>
        <family val="0"/>
        <charset val="1"/>
      </rPr>
      <t xml:space="preserve">13–18 cm(</t>
    </r>
    <r>
      <rPr>
        <sz val="10"/>
        <color rgb="FF000000"/>
        <rFont val="Noto Sans CJK SC"/>
        <family val="2"/>
      </rPr>
      <t xml:space="preserve">大果參考</t>
    </r>
    <r>
      <rPr>
        <sz val="10"/>
        <color rgb="FF000000"/>
        <rFont val="Microsoft JhengHei"/>
        <family val="0"/>
        <charset val="1"/>
      </rPr>
      <t xml:space="preserve">)</t>
    </r>
  </si>
  <si>
    <t xml:space="preserve">茄砧嫁接效果</t>
  </si>
  <si>
    <r>
      <rPr>
        <sz val="10"/>
        <color rgb="FF000000"/>
        <rFont val="Microsoft JhengHei"/>
        <family val="0"/>
        <charset val="1"/>
      </rPr>
      <t xml:space="preserve">EG203</t>
    </r>
    <r>
      <rPr>
        <sz val="10"/>
        <color rgb="FF000000"/>
        <rFont val="Noto Sans CJK SC"/>
        <family val="2"/>
      </rPr>
      <t xml:space="preserve">增產</t>
    </r>
    <r>
      <rPr>
        <sz val="10"/>
        <color rgb="FF000000"/>
        <rFont val="Microsoft JhengHei"/>
        <family val="0"/>
        <charset val="1"/>
      </rPr>
      <t xml:space="preserve">48.8%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EG219</t>
    </r>
    <r>
      <rPr>
        <sz val="10"/>
        <color rgb="FF000000"/>
        <rFont val="Noto Sans CJK SC"/>
        <family val="2"/>
      </rPr>
      <t xml:space="preserve">增產</t>
    </r>
    <r>
      <rPr>
        <sz val="10"/>
        <color rgb="FF000000"/>
        <rFont val="Microsoft JhengHei"/>
        <family val="0"/>
        <charset val="1"/>
      </rPr>
      <t xml:space="preserve">43.3%;</t>
    </r>
    <r>
      <rPr>
        <sz val="10"/>
        <color rgb="FF000000"/>
        <rFont val="Noto Sans CJK SC"/>
        <family val="2"/>
      </rPr>
      <t xml:space="preserve">青枯病罹病率自根苗</t>
    </r>
    <r>
      <rPr>
        <sz val="10"/>
        <color rgb="FF000000"/>
        <rFont val="Microsoft JhengHei"/>
        <family val="0"/>
        <charset val="1"/>
      </rPr>
      <t xml:space="preserve">80–100%</t>
    </r>
    <r>
      <rPr>
        <sz val="10"/>
        <color rgb="FF000000"/>
        <rFont val="Noto Sans CJK SC"/>
        <family val="2"/>
      </rPr>
      <t xml:space="preserve">、嫁接苗</t>
    </r>
    <r>
      <rPr>
        <sz val="10"/>
        <color rgb="FF000000"/>
        <rFont val="Microsoft JhengHei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以下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糖度約提高</t>
    </r>
    <r>
      <rPr>
        <sz val="10"/>
        <color rgb="FF000000"/>
        <rFont val="Microsoft JhengHe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度</t>
    </r>
  </si>
  <si>
    <t xml:space="preserve">青枯病田</t>
  </si>
  <si>
    <t xml:space="preserve">S7</t>
  </si>
  <si>
    <t xml:space="preserve">熊蜂</t>
  </si>
  <si>
    <r>
      <rPr>
        <sz val="10"/>
        <color rgb="FF000000"/>
        <rFont val="Noto Sans CJK SC"/>
        <family val="2"/>
      </rPr>
      <t xml:space="preserve">每分地</t>
    </r>
    <r>
      <rPr>
        <sz val="10"/>
        <color rgb="FF000000"/>
        <rFont val="Microsoft JhengHei"/>
        <family val="0"/>
        <charset val="1"/>
      </rPr>
      <t xml:space="preserve">1–2</t>
    </r>
    <r>
      <rPr>
        <sz val="10"/>
        <color rgb="FF000000"/>
        <rFont val="Noto Sans CJK SC"/>
        <family val="2"/>
      </rPr>
      <t xml:space="preserve">箱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熊蜂活動</t>
    </r>
    <r>
      <rPr>
        <sz val="10"/>
        <color rgb="FF000000"/>
        <rFont val="Microsoft JhengHei"/>
        <family val="0"/>
        <charset val="1"/>
      </rPr>
      <t xml:space="preserve">8–28°C</t>
    </r>
    <r>
      <rPr>
        <sz val="10"/>
        <color rgb="FF000000"/>
        <rFont val="Noto Sans CJK SC"/>
        <family val="2"/>
      </rPr>
      <t xml:space="preserve">、最高約</t>
    </r>
    <r>
      <rPr>
        <sz val="10"/>
        <color rgb="FF000000"/>
        <rFont val="Microsoft JhengHei"/>
        <family val="0"/>
        <charset val="1"/>
      </rPr>
      <t xml:space="preserve">32°C;</t>
    </r>
    <r>
      <rPr>
        <sz val="10"/>
        <color rgb="FF000000"/>
        <rFont val="Noto Sans CJK SC"/>
        <family val="2"/>
      </rPr>
      <t xml:space="preserve">每</t>
    </r>
    <r>
      <rPr>
        <sz val="10"/>
        <color rgb="FF000000"/>
        <rFont val="Microsoft JhengHei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天查</t>
    </r>
    <r>
      <rPr>
        <sz val="10"/>
        <color rgb="FF000000"/>
        <rFont val="Microsoft JhengHei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朵閉合花咬痕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蜂群活躍約</t>
    </r>
    <r>
      <rPr>
        <sz val="10"/>
        <color rgb="FF000000"/>
        <rFont val="Microsoft JhengHei"/>
        <family val="0"/>
        <charset val="1"/>
      </rPr>
      <t xml:space="preserve">6–8</t>
    </r>
    <r>
      <rPr>
        <sz val="10"/>
        <color rgb="FF000000"/>
        <rFont val="Noto Sans CJK SC"/>
        <family val="2"/>
      </rPr>
      <t xml:space="preserve">週</t>
    </r>
  </si>
  <si>
    <r>
      <rPr>
        <sz val="10"/>
        <color rgb="FF000000"/>
        <rFont val="Microsoft JhengHei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S12</t>
    </r>
  </si>
  <si>
    <t xml:space="preserve">生長調節劑</t>
  </si>
  <si>
    <r>
      <rPr>
        <sz val="10"/>
        <color rgb="FF000000"/>
        <rFont val="Noto Sans CJK SC"/>
        <family val="2"/>
      </rPr>
      <t xml:space="preserve">番茄多旺</t>
    </r>
    <r>
      <rPr>
        <sz val="10"/>
        <color rgb="FF000000"/>
        <rFont val="Microsoft JhengHei"/>
        <family val="0"/>
        <charset val="1"/>
      </rPr>
      <t xml:space="preserve">:20°C 100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Microsoft JhengHei"/>
        <family val="0"/>
        <charset val="1"/>
      </rPr>
      <t xml:space="preserve">30°C 250</t>
    </r>
    <r>
      <rPr>
        <sz val="10"/>
        <color rgb="FF000000"/>
        <rFont val="Noto Sans CJK SC"/>
        <family val="2"/>
      </rPr>
      <t xml:space="preserve">倍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多結果朗</t>
    </r>
    <r>
      <rPr>
        <sz val="10"/>
        <color rgb="FF000000"/>
        <rFont val="Microsoft JhengHei"/>
        <family val="0"/>
        <charset val="1"/>
      </rPr>
      <t xml:space="preserve">:20°C 800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Microsoft JhengHei"/>
        <family val="0"/>
        <charset val="1"/>
      </rPr>
      <t xml:space="preserve">30°C 1200</t>
    </r>
    <r>
      <rPr>
        <sz val="10"/>
        <color rgb="FF000000"/>
        <rFont val="Noto Sans CJK SC"/>
        <family val="2"/>
      </rPr>
      <t xml:space="preserve">倍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花序</t>
    </r>
    <r>
      <rPr>
        <sz val="10"/>
        <color rgb="FF000000"/>
        <rFont val="Microsoft JhengHei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朵盛開時噴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夏</t>
    </r>
    <r>
      <rPr>
        <sz val="10"/>
        <color rgb="FF000000"/>
        <rFont val="Microsoft JhengHei"/>
        <family val="0"/>
        <charset val="1"/>
      </rPr>
      <t xml:space="preserve">4–5</t>
    </r>
    <r>
      <rPr>
        <sz val="10"/>
        <color rgb="FF000000"/>
        <rFont val="Noto Sans CJK SC"/>
        <family val="2"/>
      </rPr>
      <t xml:space="preserve">天、冬</t>
    </r>
    <r>
      <rPr>
        <sz val="10"/>
        <color rgb="FF000000"/>
        <rFont val="Microsoft JhengHei"/>
        <family val="0"/>
        <charset val="1"/>
      </rPr>
      <t xml:space="preserve">6–7</t>
    </r>
    <r>
      <rPr>
        <sz val="10"/>
        <color rgb="FF000000"/>
        <rFont val="Noto Sans CJK SC"/>
        <family val="2"/>
      </rPr>
      <t xml:space="preserve">天一次</t>
    </r>
  </si>
  <si>
    <t xml:space="preserve">著果率比較</t>
  </si>
  <si>
    <r>
      <rPr>
        <sz val="10"/>
        <color rgb="FF000000"/>
        <rFont val="Noto Sans CJK SC"/>
        <family val="2"/>
      </rPr>
      <t xml:space="preserve">番茄試驗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自然著果約</t>
    </r>
    <r>
      <rPr>
        <sz val="10"/>
        <color rgb="FF000000"/>
        <rFont val="Microsoft JhengHei"/>
        <family val="0"/>
        <charset val="1"/>
      </rPr>
      <t xml:space="preserve">8%</t>
    </r>
    <r>
      <rPr>
        <sz val="10"/>
        <color rgb="FF000000"/>
        <rFont val="Noto Sans CJK SC"/>
        <family val="2"/>
      </rPr>
      <t xml:space="preserve">、人工授粉</t>
    </r>
    <r>
      <rPr>
        <sz val="10"/>
        <color rgb="FF000000"/>
        <rFont val="Microsoft JhengHei"/>
        <family val="0"/>
        <charset val="1"/>
      </rPr>
      <t xml:space="preserve">43%</t>
    </r>
    <r>
      <rPr>
        <sz val="10"/>
        <color rgb="FF000000"/>
        <rFont val="Noto Sans CJK SC"/>
        <family val="2"/>
      </rPr>
      <t xml:space="preserve">、蜜蜂授粉</t>
    </r>
    <r>
      <rPr>
        <sz val="10"/>
        <color rgb="FF000000"/>
        <rFont val="Microsoft JhengHei"/>
        <family val="0"/>
        <charset val="1"/>
      </rPr>
      <t xml:space="preserve">92%</t>
    </r>
    <r>
      <rPr>
        <sz val="10"/>
        <color rgb="FF000000"/>
        <rFont val="Noto Sans CJK SC"/>
        <family val="2"/>
      </rPr>
      <t xml:space="preserve">、藥劑處理</t>
    </r>
    <r>
      <rPr>
        <sz val="10"/>
        <color rgb="FF000000"/>
        <rFont val="Microsoft JhengHei"/>
        <family val="0"/>
        <charset val="1"/>
      </rPr>
      <t xml:space="preserve">89%</t>
    </r>
  </si>
  <si>
    <t xml:space="preserve">參考</t>
  </si>
  <si>
    <t xml:space="preserve">S11</t>
  </si>
  <si>
    <t xml:space="preserve">採收標準</t>
  </si>
  <si>
    <r>
      <rPr>
        <sz val="10"/>
        <color rgb="FF000000"/>
        <rFont val="Noto Sans CJK SC"/>
        <family val="2"/>
      </rPr>
      <t xml:space="preserve">紅熟且硬度高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糖度≥</t>
    </r>
    <r>
      <rPr>
        <sz val="10"/>
        <color rgb="FF000000"/>
        <rFont val="Microsoft JhengHei"/>
        <family val="0"/>
        <charset val="1"/>
      </rPr>
      <t xml:space="preserve">7°Brix;</t>
    </r>
    <r>
      <rPr>
        <sz val="10"/>
        <color rgb="FF000000"/>
        <rFont val="Noto Sans CJK SC"/>
        <family val="2"/>
      </rPr>
      <t xml:space="preserve">夏季提早採收防裂果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每週</t>
    </r>
    <r>
      <rPr>
        <sz val="10"/>
        <color rgb="FF000000"/>
        <rFont val="Microsoft JhengHei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次</t>
    </r>
  </si>
  <si>
    <t xml:space="preserve">貯藏</t>
  </si>
  <si>
    <r>
      <rPr>
        <sz val="10"/>
        <color rgb="FF000000"/>
        <rFont val="Noto Sans CJK SC"/>
        <family val="2"/>
      </rPr>
      <t xml:space="preserve">淡紅果</t>
    </r>
    <r>
      <rPr>
        <sz val="10"/>
        <color rgb="FF000000"/>
        <rFont val="Microsoft JhengHei"/>
        <family val="0"/>
        <charset val="1"/>
      </rPr>
      <t xml:space="preserve">10–12.5°C;</t>
    </r>
    <r>
      <rPr>
        <sz val="10"/>
        <color rgb="FF000000"/>
        <rFont val="Noto Sans CJK SC"/>
        <family val="2"/>
      </rPr>
      <t xml:space="preserve">紅熟硬果</t>
    </r>
    <r>
      <rPr>
        <sz val="10"/>
        <color rgb="FF000000"/>
        <rFont val="Microsoft JhengHei"/>
        <family val="0"/>
        <charset val="1"/>
      </rPr>
      <t xml:space="preserve">7–10°C</t>
    </r>
    <r>
      <rPr>
        <sz val="10"/>
        <color rgb="FF000000"/>
        <rFont val="Noto Sans CJK SC"/>
        <family val="2"/>
      </rPr>
      <t xml:space="preserve">放</t>
    </r>
    <r>
      <rPr>
        <sz val="10"/>
        <color rgb="FF000000"/>
        <rFont val="Microsoft JhengHei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天</t>
    </r>
    <r>
      <rPr>
        <sz val="10"/>
        <color rgb="FF000000"/>
        <rFont val="Microsoft JhengHei"/>
        <family val="0"/>
        <charset val="1"/>
      </rPr>
      <t xml:space="preserve">;RH 90–95%;&lt;10°C</t>
    </r>
    <r>
      <rPr>
        <sz val="10"/>
        <color rgb="FF000000"/>
        <rFont val="Noto Sans CJK SC"/>
        <family val="2"/>
      </rPr>
      <t xml:space="preserve">超過</t>
    </r>
    <r>
      <rPr>
        <sz val="10"/>
        <color rgb="FF000000"/>
        <rFont val="Microsoft JhengHei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週寒害</t>
    </r>
  </si>
  <si>
    <t xml:space="preserve">採後</t>
  </si>
  <si>
    <t xml:space="preserve">S20</t>
  </si>
  <si>
    <t xml:space="preserve">產量</t>
  </si>
  <si>
    <t xml:space="preserve">參考產量</t>
  </si>
  <si>
    <r>
      <rPr>
        <sz val="10"/>
        <color rgb="FF000000"/>
        <rFont val="Noto Sans CJK SC"/>
        <family val="2"/>
      </rPr>
      <t xml:space="preserve">臺中場秋作玉女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籃耕泥炭介質、雙幹直立</t>
    </r>
    <r>
      <rPr>
        <sz val="10"/>
        <color rgb="FF000000"/>
        <rFont val="Microsoft JhengHei"/>
        <family val="0"/>
        <charset val="1"/>
      </rPr>
      <t xml:space="preserve">):</t>
    </r>
    <r>
      <rPr>
        <sz val="10"/>
        <color rgb="FF000000"/>
        <rFont val="Noto Sans CJK SC"/>
        <family val="2"/>
      </rPr>
      <t xml:space="preserve">總產量</t>
    </r>
    <r>
      <rPr>
        <sz val="10"/>
        <color rgb="FF000000"/>
        <rFont val="Microsoft JhengHei"/>
        <family val="0"/>
        <charset val="1"/>
      </rPr>
      <t xml:space="preserve">2,019 kg/0.1</t>
    </r>
    <r>
      <rPr>
        <sz val="10"/>
        <color rgb="FF000000"/>
        <rFont val="Noto Sans CJK SC"/>
        <family val="2"/>
      </rPr>
      <t xml:space="preserve">公頃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特級果</t>
    </r>
    <r>
      <rPr>
        <sz val="10"/>
        <color rgb="FF000000"/>
        <rFont val="Microsoft JhengHei"/>
        <family val="0"/>
        <charset val="1"/>
      </rPr>
      <t xml:space="preserve">91.9%</t>
    </r>
  </si>
  <si>
    <t xml:space="preserve">病蟲害監測與防治作業</t>
  </si>
  <si>
    <r>
      <rPr>
        <sz val="10"/>
        <color rgb="FF595959"/>
        <rFont val="Noto Sans CJK SC"/>
        <family val="2"/>
      </rPr>
      <t xml:space="preserve">用藥一律先查「農藥資訊服務網」番茄現行登記</t>
    </r>
    <r>
      <rPr>
        <sz val="10"/>
        <color rgb="FF595959"/>
        <rFont val="Microsoft JhengHei"/>
        <family val="0"/>
        <charset val="1"/>
      </rPr>
      <t xml:space="preserve">(S22),</t>
    </r>
    <r>
      <rPr>
        <sz val="10"/>
        <color rgb="FF595959"/>
        <rFont val="Noto Sans CJK SC"/>
        <family val="2"/>
      </rPr>
      <t xml:space="preserve">遵守安全採收期並記錄</t>
    </r>
  </si>
  <si>
    <t xml:space="preserve">病蟲害</t>
  </si>
  <si>
    <r>
      <rPr>
        <b val="true"/>
        <sz val="10"/>
        <color rgb="FFFFFFFF"/>
        <rFont val="Noto Sans CJK SC"/>
        <family val="2"/>
      </rPr>
      <t xml:space="preserve">高風險時期</t>
    </r>
    <r>
      <rPr>
        <b val="true"/>
        <sz val="10"/>
        <color rgb="FFFFFFFF"/>
        <rFont val="Microsoft JhengHei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條件</t>
    </r>
  </si>
  <si>
    <t xml:space="preserve">監測方法與頻率</t>
  </si>
  <si>
    <r>
      <rPr>
        <b val="true"/>
        <sz val="10"/>
        <color rgb="FFFFFFFF"/>
        <rFont val="Noto Sans CJK SC"/>
        <family val="2"/>
      </rPr>
      <t xml:space="preserve">判斷</t>
    </r>
    <r>
      <rPr>
        <b val="true"/>
        <sz val="10"/>
        <color rgb="FFFFFFFF"/>
        <rFont val="Microsoft JhengHei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行動門檻</t>
    </r>
  </si>
  <si>
    <t xml:space="preserve">非化學防治作業</t>
  </si>
  <si>
    <t xml:space="preserve">用藥原則</t>
  </si>
  <si>
    <r>
      <rPr>
        <b val="true"/>
        <sz val="10"/>
        <color rgb="FF000000"/>
        <rFont val="Noto Sans CJK SC"/>
        <family val="2"/>
      </rPr>
      <t xml:space="preserve">銀葉粉蝨</t>
    </r>
    <r>
      <rPr>
        <b val="true"/>
        <sz val="10"/>
        <color rgb="FF000000"/>
        <rFont val="Microsoft JhengHei"/>
        <family val="0"/>
        <charset val="1"/>
      </rPr>
      <t xml:space="preserve">+</t>
    </r>
    <r>
      <rPr>
        <b val="true"/>
        <sz val="10"/>
        <color rgb="FF000000"/>
        <rFont val="Noto Sans CJK SC"/>
        <family val="2"/>
      </rPr>
      <t xml:space="preserve">番茄黃化捲葉病毒</t>
    </r>
  </si>
  <si>
    <r>
      <rPr>
        <sz val="10"/>
        <color rgb="FF000000"/>
        <rFont val="Noto Sans CJK SC"/>
        <family val="2"/>
      </rPr>
      <t xml:space="preserve">定植初期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秋作初期仍高溫</t>
    </r>
    <r>
      <rPr>
        <sz val="10"/>
        <color rgb="FF000000"/>
        <rFont val="Microsoft JhengHei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</si>
  <si>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黃色黏紙每週計數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每週翻看上位葉背</t>
    </r>
  </si>
  <si>
    <r>
      <rPr>
        <sz val="10"/>
        <color rgb="FF000000"/>
        <rFont val="Noto Sans CJK SC"/>
        <family val="2"/>
      </rPr>
      <t xml:space="preserve">病毒媒介害蟲宜低容忍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黏紙初見粉蝨即啟動防治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見捲葉株立即拔除</t>
    </r>
  </si>
  <si>
    <r>
      <rPr>
        <sz val="10"/>
        <color rgb="FF000000"/>
        <rFont val="Noto Sans CJK SC"/>
        <family val="2"/>
      </rPr>
      <t xml:space="preserve">要求育苗場以</t>
    </r>
    <r>
      <rPr>
        <sz val="10"/>
        <color rgb="FF000000"/>
        <rFont val="Microsoft JhengHei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目網隔離育苗、驗苗剔除捲葉苗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防蟲網修補、出入口隨手關門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病株裝袋帶出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國外以寄生蜂</t>
    </r>
    <r>
      <rPr>
        <sz val="10"/>
        <color rgb="FF000000"/>
        <rFont val="Microsoft JhengHei"/>
        <family val="0"/>
        <charset val="1"/>
      </rPr>
      <t xml:space="preserve">(Encarsia/Eretmocerus)</t>
    </r>
    <r>
      <rPr>
        <sz val="10"/>
        <color rgb="FF000000"/>
        <rFont val="Noto Sans CJK SC"/>
        <family val="2"/>
      </rPr>
      <t xml:space="preserve">於黏紙初見粉蝨時釋放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持續到寄生率</t>
    </r>
    <r>
      <rPr>
        <sz val="10"/>
        <color rgb="FF000000"/>
        <rFont val="Microsoft JhengHei"/>
        <family val="0"/>
        <charset val="1"/>
      </rPr>
      <t xml:space="preserve">80%(</t>
    </r>
    <r>
      <rPr>
        <sz val="10"/>
        <color rgb="FF000000"/>
        <rFont val="Noto Sans CJK SC"/>
        <family val="2"/>
      </rPr>
      <t xml:space="preserve">國內供應需洽詢</t>
    </r>
    <r>
      <rPr>
        <sz val="10"/>
        <color rgb="FF000000"/>
        <rFont val="Microsoft JhengHei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</si>
  <si>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查登記藥劑、輪替不同作用機制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放蜂期間先確認對熊蜂影響</t>
    </r>
  </si>
  <si>
    <r>
      <rPr>
        <sz val="10"/>
        <color rgb="FF000000"/>
        <rFont val="Microsoft JhengHei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S18</t>
    </r>
  </si>
  <si>
    <t xml:space="preserve">薊馬</t>
  </si>
  <si>
    <t xml:space="preserve">乾燥、高溫期</t>
  </si>
  <si>
    <r>
      <rPr>
        <sz val="10"/>
        <color rgb="FF000000"/>
        <rFont val="Noto Sans CJK SC"/>
        <family val="2"/>
      </rPr>
      <t xml:space="preserve">藍色黏紙監測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每週計數</t>
    </r>
  </si>
  <si>
    <r>
      <rPr>
        <sz val="10"/>
        <color rgb="FF000000"/>
        <rFont val="Noto Sans CJK SC"/>
        <family val="2"/>
      </rPr>
      <t xml:space="preserve">國外溫室一般參考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每張黏紙每週</t>
    </r>
    <r>
      <rPr>
        <sz val="10"/>
        <color rgb="FF000000"/>
        <rFont val="Microsoft JhengHei"/>
        <family val="0"/>
        <charset val="1"/>
      </rPr>
      <t xml:space="preserve">15</t>
    </r>
    <r>
      <rPr>
        <sz val="10"/>
        <color rgb="FF000000"/>
        <rFont val="Noto Sans CJK SC"/>
        <family val="2"/>
      </rPr>
      <t xml:space="preserve">隻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若已有番茄斑點萎凋病毒</t>
    </r>
    <r>
      <rPr>
        <sz val="10"/>
        <color rgb="FF000000"/>
        <rFont val="Microsoft JhengHei"/>
        <family val="0"/>
        <charset val="1"/>
      </rPr>
      <t xml:space="preserve">(Tospovirus)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Microsoft JhengHe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隻即行動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花卉作物數據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供參考</t>
    </r>
    <r>
      <rPr>
        <sz val="10"/>
        <color rgb="FF000000"/>
        <rFont val="Microsoft JhengHei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</si>
  <si>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清除雜草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藍色黏紙誘殺</t>
    </r>
  </si>
  <si>
    <t xml:space="preserve">查登記藥劑</t>
  </si>
  <si>
    <r>
      <rPr>
        <sz val="10"/>
        <color rgb="FF000000"/>
        <rFont val="Microsoft JhengHei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S19</t>
    </r>
  </si>
  <si>
    <r>
      <rPr>
        <b val="true"/>
        <sz val="10"/>
        <color rgb="FF000000"/>
        <rFont val="Noto Sans CJK SC"/>
        <family val="2"/>
      </rPr>
      <t xml:space="preserve">夜蛾類</t>
    </r>
    <r>
      <rPr>
        <b val="true"/>
        <sz val="10"/>
        <color rgb="FF000000"/>
        <rFont val="Microsoft JhengHei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番茄夜蛾、斜紋夜蛾</t>
    </r>
    <r>
      <rPr>
        <b val="true"/>
        <sz val="10"/>
        <color rgb="FF000000"/>
        <rFont val="Microsoft JhengHei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</si>
  <si>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性費洛蒙誘蟲器每週計數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巡查蛀果</t>
    </r>
  </si>
  <si>
    <t xml:space="preserve">誘蟲器捕獲量上升或見蛀孔果</t>
  </si>
  <si>
    <r>
      <rPr>
        <sz val="10"/>
        <color rgb="FF000000"/>
        <rFont val="Noto Sans CJK SC"/>
        <family val="2"/>
      </rPr>
      <t xml:space="preserve">性費洛蒙誘殺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蛀果摘除帶出</t>
    </r>
  </si>
  <si>
    <r>
      <rPr>
        <sz val="10"/>
        <color rgb="FF000000"/>
        <rFont val="Noto Sans CJK SC"/>
        <family val="2"/>
      </rPr>
      <t xml:space="preserve">臺南場手冊列蘇力菌類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使用前查登記</t>
    </r>
  </si>
  <si>
    <r>
      <rPr>
        <sz val="10"/>
        <color rgb="FF000000"/>
        <rFont val="Microsoft JhengHei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S22</t>
    </r>
  </si>
  <si>
    <t xml:space="preserve">葉蟎</t>
  </si>
  <si>
    <t xml:space="preserve">高溫乾燥期</t>
  </si>
  <si>
    <r>
      <rPr>
        <sz val="10"/>
        <color rgb="FF000000"/>
        <rFont val="Noto Sans CJK SC"/>
        <family val="2"/>
      </rPr>
      <t xml:space="preserve">每週翻看葉背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注意黃白斑點與細絲</t>
    </r>
  </si>
  <si>
    <t xml:space="preserve">發現群聚即局部處理</t>
  </si>
  <si>
    <r>
      <rPr>
        <sz val="10"/>
        <color rgb="FF000000"/>
        <rFont val="Noto Sans CJK SC"/>
        <family val="2"/>
      </rPr>
      <t xml:space="preserve">避免過度乾燥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清除嚴重受害葉</t>
    </r>
  </si>
  <si>
    <r>
      <rPr>
        <sz val="10"/>
        <color rgb="FF000000"/>
        <rFont val="Noto Sans CJK SC"/>
        <family val="2"/>
      </rPr>
      <t xml:space="preserve">窄域油類</t>
    </r>
    <r>
      <rPr>
        <sz val="10"/>
        <color rgb="FF000000"/>
        <rFont val="Microsoft JhengHe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查登記藥劑</t>
    </r>
  </si>
  <si>
    <t xml:space="preserve">青枯病</t>
  </si>
  <si>
    <r>
      <rPr>
        <sz val="10"/>
        <color rgb="FF000000"/>
        <rFont val="Noto Sans CJK SC"/>
        <family val="2"/>
      </rPr>
      <t xml:space="preserve">高溫多濕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低於</t>
    </r>
    <r>
      <rPr>
        <sz val="10"/>
        <color rgb="FF000000"/>
        <rFont val="Microsoft JhengHei"/>
        <family val="0"/>
        <charset val="1"/>
      </rPr>
      <t xml:space="preserve">20°C</t>
    </r>
    <r>
      <rPr>
        <sz val="10"/>
        <color rgb="FF000000"/>
        <rFont val="Noto Sans CJK SC"/>
        <family val="2"/>
      </rPr>
      <t xml:space="preserve">或土壤乾燥不利發病</t>
    </r>
  </si>
  <si>
    <r>
      <rPr>
        <sz val="10"/>
        <color rgb="FF000000"/>
        <rFont val="Noto Sans CJK SC"/>
        <family val="2"/>
      </rPr>
      <t xml:space="preserve">每日巡查萎凋株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切莖基部泡清水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見乳白色雲霧狀菌泥即確診</t>
    </r>
  </si>
  <si>
    <r>
      <rPr>
        <sz val="10"/>
        <color rgb="FF000000"/>
        <rFont val="Noto Sans CJK SC"/>
        <family val="2"/>
      </rPr>
      <t xml:space="preserve">確診即處理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並隔離該區灌溉水</t>
    </r>
  </si>
  <si>
    <r>
      <rPr>
        <sz val="10"/>
        <color rgb="FF000000"/>
        <rFont val="Noto Sans CJK SC"/>
        <family val="2"/>
      </rPr>
      <t xml:space="preserve">病株立即拔除帶出焚燬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減少給水次數與水量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築土堤隔離發病區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有病史田改用茄砧嫁接苗或與水稻輪作</t>
    </r>
  </si>
  <si>
    <r>
      <rPr>
        <sz val="10"/>
        <color rgb="FF000000"/>
        <rFont val="Noto Sans CJK SC"/>
        <family val="2"/>
      </rPr>
      <t xml:space="preserve">液化澱粉芽孢桿菌</t>
    </r>
    <r>
      <rPr>
        <sz val="10"/>
        <color rgb="FF000000"/>
        <rFont val="Microsoft JhengHei"/>
        <family val="0"/>
        <charset val="1"/>
      </rPr>
      <t xml:space="preserve">PMB01 200</t>
    </r>
    <r>
      <rPr>
        <sz val="10"/>
        <color rgb="FF000000"/>
        <rFont val="Noto Sans CJK SC"/>
        <family val="2"/>
      </rPr>
      <t xml:space="preserve">倍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每株莖基部澆</t>
    </r>
    <r>
      <rPr>
        <sz val="10"/>
        <color rgb="FF000000"/>
        <rFont val="Microsoft JhengHei"/>
        <family val="0"/>
        <charset val="1"/>
      </rPr>
      <t xml:space="preserve">0.2 L,</t>
    </r>
    <r>
      <rPr>
        <sz val="10"/>
        <color rgb="FF000000"/>
        <rFont val="Noto Sans CJK SC"/>
        <family val="2"/>
      </rPr>
      <t xml:space="preserve">發病初期起每</t>
    </r>
    <r>
      <rPr>
        <sz val="10"/>
        <color rgb="FF000000"/>
        <rFont val="Microsoft JhengHei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天</t>
    </r>
    <r>
      <rPr>
        <sz val="10"/>
        <color rgb="FF000000"/>
        <rFont val="Microsoft JhengHe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必要時連續</t>
    </r>
    <r>
      <rPr>
        <sz val="10"/>
        <color rgb="FF000000"/>
        <rFont val="Microsoft JhengHei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次</t>
    </r>
  </si>
  <si>
    <t xml:space="preserve">晚疫病</t>
  </si>
  <si>
    <t xml:space="preserve">冷涼多濕期</t>
  </si>
  <si>
    <t xml:space="preserve">每日巡查葉片水浸狀病斑</t>
  </si>
  <si>
    <t xml:space="preserve">發現病斑即清除並加強通風</t>
  </si>
  <si>
    <r>
      <rPr>
        <sz val="10"/>
        <color rgb="FF000000"/>
        <rFont val="Noto Sans CJK SC"/>
        <family val="2"/>
      </rPr>
      <t xml:space="preserve">降低濕度、避免葉面長時間濕潤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病葉帶出</t>
    </r>
  </si>
  <si>
    <r>
      <rPr>
        <sz val="10"/>
        <color rgb="FF000000"/>
        <rFont val="Noto Sans CJK SC"/>
        <family val="2"/>
      </rPr>
      <t xml:space="preserve">預防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亞磷酸</t>
    </r>
    <r>
      <rPr>
        <sz val="10"/>
        <color rgb="FF000000"/>
        <rFont val="Microsoft JhengHei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氫氧化鉀</t>
    </r>
    <r>
      <rPr>
        <sz val="10"/>
        <color rgb="FF000000"/>
        <rFont val="Microsoft JhengHei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倍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治療查登記藥劑</t>
    </r>
  </si>
  <si>
    <r>
      <rPr>
        <sz val="10"/>
        <color rgb="FF000000"/>
        <rFont val="Microsoft JhengHei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S22</t>
    </r>
  </si>
  <si>
    <r>
      <rPr>
        <b val="true"/>
        <sz val="10"/>
        <color rgb="FF000000"/>
        <rFont val="Noto Sans CJK SC"/>
        <family val="2"/>
      </rPr>
      <t xml:space="preserve">灰黴病</t>
    </r>
    <r>
      <rPr>
        <b val="true"/>
        <sz val="10"/>
        <color rgb="FF000000"/>
        <rFont val="Microsoft JhengHei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葉黴病</t>
    </r>
  </si>
  <si>
    <t xml:space="preserve">高濕、盛花期、密植</t>
  </si>
  <si>
    <t xml:space="preserve">每日查花、果、下位葉</t>
  </si>
  <si>
    <r>
      <rPr>
        <sz val="10"/>
        <color rgb="FF000000"/>
        <rFont val="Microsoft JhengHei"/>
        <family val="0"/>
        <charset val="1"/>
      </rPr>
      <t xml:space="preserve">RH</t>
    </r>
    <r>
      <rPr>
        <sz val="10"/>
        <color rgb="FF000000"/>
        <rFont val="Noto Sans CJK SC"/>
        <family val="2"/>
      </rPr>
      <t xml:space="preserve">長時間</t>
    </r>
    <r>
      <rPr>
        <sz val="10"/>
        <color rgb="FF000000"/>
        <rFont val="Microsoft JhengHei"/>
        <family val="0"/>
        <charset val="1"/>
      </rPr>
      <t xml:space="preserve">&gt;90%</t>
    </r>
    <r>
      <rPr>
        <sz val="10"/>
        <color rgb="FF000000"/>
        <rFont val="Noto Sans CJK SC"/>
        <family val="2"/>
      </rPr>
      <t xml:space="preserve">即為高風險</t>
    </r>
  </si>
  <si>
    <r>
      <rPr>
        <sz val="10"/>
        <color rgb="FF000000"/>
        <rFont val="Noto Sans CJK SC"/>
        <family val="2"/>
      </rPr>
      <t xml:space="preserve">日出後通風排濕、開循環風扇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摘除下位老葉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病花病果裝袋帶出</t>
    </r>
  </si>
  <si>
    <r>
      <rPr>
        <sz val="10"/>
        <color rgb="FF000000"/>
        <rFont val="Microsoft JhengHei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S14</t>
    </r>
  </si>
  <si>
    <t xml:space="preserve">白粉病</t>
  </si>
  <si>
    <t xml:space="preserve">乾濕交替期</t>
  </si>
  <si>
    <t xml:space="preserve">每週查葉面白色粉斑</t>
  </si>
  <si>
    <t xml:space="preserve">初見病斑即處理</t>
  </si>
  <si>
    <t xml:space="preserve">摘除病葉</t>
  </si>
  <si>
    <t xml:space="preserve">窄域油、葵無露等乳化油劑</t>
  </si>
  <si>
    <t xml:space="preserve">根瘤線蟲</t>
  </si>
  <si>
    <t xml:space="preserve">連作田、砂質土</t>
  </si>
  <si>
    <r>
      <rPr>
        <sz val="10"/>
        <color rgb="FF000000"/>
        <rFont val="Noto Sans CJK SC"/>
        <family val="2"/>
      </rPr>
      <t xml:space="preserve">作前檢查前作根部是否有根瘤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生育期查萎凋株根部</t>
    </r>
  </si>
  <si>
    <t xml:space="preserve">前作根瘤明顯即作前處理</t>
  </si>
  <si>
    <r>
      <rPr>
        <sz val="10"/>
        <color rgb="FF000000"/>
        <rFont val="Noto Sans CJK SC"/>
        <family val="2"/>
      </rPr>
      <t xml:space="preserve">清除前作根系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輪作</t>
    </r>
  </si>
  <si>
    <r>
      <rPr>
        <sz val="10"/>
        <color rgb="FF000000"/>
        <rFont val="Microsoft JhengHei"/>
        <family val="0"/>
        <charset val="1"/>
      </rPr>
      <t xml:space="preserve">TGAP:</t>
    </r>
    <r>
      <rPr>
        <sz val="10"/>
        <color rgb="FF000000"/>
        <rFont val="Noto Sans CJK SC"/>
        <family val="2"/>
      </rPr>
      <t xml:space="preserve">可於定植當日施用登記粒劑</t>
    </r>
  </si>
  <si>
    <r>
      <rPr>
        <b val="true"/>
        <sz val="10"/>
        <color rgb="FF000000"/>
        <rFont val="Noto Sans CJK SC"/>
        <family val="2"/>
      </rPr>
      <t xml:space="preserve">裂果</t>
    </r>
    <r>
      <rPr>
        <b val="true"/>
        <sz val="10"/>
        <color rgb="FF000000"/>
        <rFont val="Microsoft JhengHei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尻腐</t>
    </r>
    <r>
      <rPr>
        <b val="true"/>
        <sz val="10"/>
        <color rgb="FF000000"/>
        <rFont val="Microsoft JhengHei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生理障礙</t>
    </r>
    <r>
      <rPr>
        <b val="true"/>
        <sz val="10"/>
        <color rgb="FF000000"/>
        <rFont val="Microsoft JhengHei"/>
        <family val="0"/>
        <charset val="1"/>
      </rPr>
      <t xml:space="preserve">)</t>
    </r>
  </si>
  <si>
    <t xml:space="preserve">高溫期、灌水不均</t>
  </si>
  <si>
    <t xml:space="preserve">每次採收記錄裂果、尻腐比例</t>
  </si>
  <si>
    <t xml:space="preserve">比例上升即檢討灌水</t>
  </si>
  <si>
    <r>
      <rPr>
        <sz val="10"/>
        <color rgb="FF000000"/>
        <rFont val="Noto Sans CJK SC"/>
        <family val="2"/>
      </rPr>
      <t xml:space="preserve">穩定灌水避免忽乾忽濕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高溫期葉面補鈣每</t>
    </r>
    <r>
      <rPr>
        <sz val="10"/>
        <color rgb="FF000000"/>
        <rFont val="Microsoft JhengHei"/>
        <family val="0"/>
        <charset val="1"/>
      </rPr>
      <t xml:space="preserve">7–10</t>
    </r>
    <r>
      <rPr>
        <sz val="10"/>
        <color rgb="FF000000"/>
        <rFont val="Noto Sans CJK SC"/>
        <family val="2"/>
      </rPr>
      <t xml:space="preserve">天</t>
    </r>
    <r>
      <rPr>
        <sz val="10"/>
        <color rgb="FF000000"/>
        <rFont val="Microsoft JhengHe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次連</t>
    </r>
    <r>
      <rPr>
        <sz val="10"/>
        <color rgb="FF000000"/>
        <rFont val="Microsoft JhengHei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夏季提早採收</t>
    </r>
  </si>
  <si>
    <r>
      <rPr>
        <sz val="10"/>
        <color rgb="FF000000"/>
        <rFont val="Microsoft JhengHei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S1</t>
    </r>
  </si>
  <si>
    <r>
      <rPr>
        <b val="true"/>
        <sz val="10"/>
        <color rgb="FF000000"/>
        <rFont val="Noto Sans CJK SC"/>
        <family val="2"/>
      </rPr>
      <t xml:space="preserve">落花落果</t>
    </r>
    <r>
      <rPr>
        <b val="true"/>
        <sz val="10"/>
        <color rgb="FF000000"/>
        <rFont val="Microsoft JhengHei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生理障礙</t>
    </r>
    <r>
      <rPr>
        <b val="true"/>
        <sz val="10"/>
        <color rgb="FF000000"/>
        <rFont val="Microsoft JhengHei"/>
        <family val="0"/>
        <charset val="1"/>
      </rPr>
      <t xml:space="preserve">)</t>
    </r>
  </si>
  <si>
    <r>
      <rPr>
        <sz val="10"/>
        <color rgb="FF000000"/>
        <rFont val="Microsoft JhengHei"/>
        <family val="0"/>
        <charset val="1"/>
      </rPr>
      <t xml:space="preserve">&lt;15°C</t>
    </r>
    <r>
      <rPr>
        <sz val="10"/>
        <color rgb="FF000000"/>
        <rFont val="Noto Sans CJK SC"/>
        <family val="2"/>
      </rPr>
      <t xml:space="preserve">或</t>
    </r>
    <r>
      <rPr>
        <sz val="10"/>
        <color rgb="FF000000"/>
        <rFont val="Microsoft JhengHei"/>
        <family val="0"/>
        <charset val="1"/>
      </rPr>
      <t xml:space="preserve">&gt;35°C</t>
    </r>
  </si>
  <si>
    <r>
      <rPr>
        <sz val="10"/>
        <color rgb="FF000000"/>
        <rFont val="Noto Sans CJK SC"/>
        <family val="2"/>
      </rPr>
      <t xml:space="preserve">每週記錄著果數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生長量測</t>
    </r>
    <r>
      <rPr>
        <sz val="10"/>
        <color rgb="FF000000"/>
        <rFont val="Microsoft JhengHei"/>
        <family val="0"/>
        <charset val="1"/>
      </rPr>
      <t xml:space="preserve">)</t>
    </r>
  </si>
  <si>
    <t xml:space="preserve">著果數連續下降</t>
  </si>
  <si>
    <r>
      <rPr>
        <sz val="10"/>
        <color rgb="FF000000"/>
        <rFont val="Noto Sans CJK SC"/>
        <family val="2"/>
      </rPr>
      <t xml:space="preserve">調整溫度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人工振動授粉或熊蜂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高溫期遮陰</t>
    </r>
  </si>
  <si>
    <r>
      <rPr>
        <sz val="10"/>
        <color rgb="FF000000"/>
        <rFont val="Noto Sans CJK SC"/>
        <family val="2"/>
      </rPr>
      <t xml:space="preserve">生長調節劑依</t>
    </r>
    <r>
      <rPr>
        <sz val="10"/>
        <color rgb="FF000000"/>
        <rFont val="Microsoft JhengHei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</si>
  <si>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Microsoft JhengHei"/>
        <family val="0"/>
        <charset val="1"/>
      </rPr>
      <t xml:space="preserve">S9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S1</t>
    </r>
  </si>
  <si>
    <t xml:space="preserve">用藥總則</t>
  </si>
  <si>
    <r>
      <rPr>
        <sz val="10"/>
        <color rgb="FF000000"/>
        <rFont val="Noto Sans CJK SC"/>
        <family val="2"/>
      </rPr>
      <t xml:space="preserve">只使用合法登記藥劑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勿同時混用多種藥劑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作業人員</t>
    </r>
    <r>
      <rPr>
        <sz val="10"/>
        <color rgb="FF000000"/>
        <rFont val="Microsoft JhengHei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Microsoft JhengHe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次安全用藥講習</t>
    </r>
    <r>
      <rPr>
        <sz val="10"/>
        <color rgb="FF000000"/>
        <rFont val="Microsoft JhengHei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每期作果實殘留檢驗</t>
    </r>
    <r>
      <rPr>
        <sz val="10"/>
        <color rgb="FF000000"/>
        <rFont val="Microsoft JhengHe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次</t>
    </r>
  </si>
  <si>
    <t xml:space="preserve">每筆記錄資材名稱、倍數、日期、安全採收期</t>
  </si>
  <si>
    <r>
      <rPr>
        <sz val="10"/>
        <color rgb="FF000000"/>
        <rFont val="Microsoft JhengHei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S22</t>
    </r>
  </si>
  <si>
    <t xml:space="preserve">田間作業紀錄</t>
  </si>
  <si>
    <r>
      <rPr>
        <sz val="10"/>
        <color rgb="FF595959"/>
        <rFont val="Noto Sans CJK SC"/>
        <family val="2"/>
      </rPr>
      <t xml:space="preserve">第</t>
    </r>
    <r>
      <rPr>
        <sz val="10"/>
        <color rgb="FF595959"/>
        <rFont val="Microsoft JhengHei"/>
        <family val="0"/>
        <charset val="1"/>
      </rPr>
      <t xml:space="preserve">4</t>
    </r>
    <r>
      <rPr>
        <sz val="10"/>
        <color rgb="FF595959"/>
        <rFont val="Noto Sans CJK SC"/>
        <family val="2"/>
      </rPr>
      <t xml:space="preserve">列灰底為填寫範例</t>
    </r>
    <r>
      <rPr>
        <sz val="10"/>
        <color rgb="FF595959"/>
        <rFont val="Microsoft JhengHei"/>
        <family val="0"/>
        <charset val="1"/>
      </rPr>
      <t xml:space="preserve">;</t>
    </r>
    <r>
      <rPr>
        <sz val="10"/>
        <color rgb="FF595959"/>
        <rFont val="Noto Sans CJK SC"/>
        <family val="2"/>
      </rPr>
      <t xml:space="preserve">依</t>
    </r>
    <r>
      <rPr>
        <sz val="10"/>
        <color rgb="FF595959"/>
        <rFont val="Microsoft JhengHei"/>
        <family val="0"/>
        <charset val="1"/>
      </rPr>
      <t xml:space="preserve">TGAP</t>
    </r>
    <r>
      <rPr>
        <sz val="10"/>
        <color rgb="FF595959"/>
        <rFont val="Noto Sans CJK SC"/>
        <family val="2"/>
      </rPr>
      <t xml:space="preserve">產銷履歷紀錄需求設計</t>
    </r>
    <r>
      <rPr>
        <sz val="10"/>
        <color rgb="FF595959"/>
        <rFont val="Microsoft JhengHei"/>
        <family val="0"/>
        <charset val="1"/>
      </rPr>
      <t xml:space="preserve">(S2)</t>
    </r>
  </si>
  <si>
    <r>
      <rPr>
        <b val="true"/>
        <sz val="10"/>
        <color rgb="FFFFFFFF"/>
        <rFont val="Noto Sans CJK SC"/>
        <family val="2"/>
      </rPr>
      <t xml:space="preserve">棟別</t>
    </r>
    <r>
      <rPr>
        <b val="true"/>
        <sz val="10"/>
        <color rgb="FFFFFFFF"/>
        <rFont val="Microsoft JhengHei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區塊</t>
    </r>
  </si>
  <si>
    <t xml:space="preserve">工作編號</t>
  </si>
  <si>
    <t xml:space="preserve">作業內容說明</t>
  </si>
  <si>
    <t xml:space="preserve">作業人員</t>
  </si>
  <si>
    <r>
      <rPr>
        <b val="true"/>
        <sz val="10"/>
        <color rgb="FFFFFFFF"/>
        <rFont val="Noto Sans CJK SC"/>
        <family val="2"/>
      </rPr>
      <t xml:space="preserve">工時</t>
    </r>
    <r>
      <rPr>
        <b val="true"/>
        <sz val="10"/>
        <color rgb="FFFFFFFF"/>
        <rFont val="Microsoft JhengHe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小時</t>
    </r>
    <r>
      <rPr>
        <b val="true"/>
        <sz val="10"/>
        <color rgb="FFFFFFFF"/>
        <rFont val="Microsoft JhengHei"/>
        <family val="0"/>
        <charset val="1"/>
      </rPr>
      <t xml:space="preserve">)</t>
    </r>
  </si>
  <si>
    <t xml:space="preserve">備註</t>
  </si>
  <si>
    <r>
      <rPr>
        <i val="true"/>
        <sz val="10"/>
        <color rgb="FF595959"/>
        <rFont val="Microsoft JhengHei"/>
        <family val="0"/>
        <charset val="1"/>
      </rPr>
      <t xml:space="preserve">A</t>
    </r>
    <r>
      <rPr>
        <i val="true"/>
        <sz val="10"/>
        <color rgb="FF595959"/>
        <rFont val="Noto Sans CJK SC"/>
        <family val="2"/>
      </rPr>
      <t xml:space="preserve">棟</t>
    </r>
  </si>
  <si>
    <r>
      <rPr>
        <i val="true"/>
        <sz val="10"/>
        <color rgb="FF595959"/>
        <rFont val="Noto Sans CJK SC"/>
        <family val="2"/>
      </rPr>
      <t xml:space="preserve">全棟摘除側芽</t>
    </r>
    <r>
      <rPr>
        <i val="true"/>
        <sz val="10"/>
        <color rgb="FF595959"/>
        <rFont val="Microsoft JhengHei"/>
        <family val="0"/>
        <charset val="1"/>
      </rPr>
      <t xml:space="preserve">,</t>
    </r>
    <r>
      <rPr>
        <i val="true"/>
        <sz val="10"/>
        <color rgb="FF595959"/>
        <rFont val="Noto Sans CJK SC"/>
        <family val="2"/>
      </rPr>
      <t xml:space="preserve">最長約</t>
    </r>
    <r>
      <rPr>
        <i val="true"/>
        <sz val="10"/>
        <color rgb="FF595959"/>
        <rFont val="Microsoft JhengHei"/>
        <family val="0"/>
        <charset val="1"/>
      </rPr>
      <t xml:space="preserve">6 cm</t>
    </r>
  </si>
  <si>
    <t xml:space="preserve">王小明</t>
  </si>
  <si>
    <r>
      <rPr>
        <i val="true"/>
        <sz val="10"/>
        <color rgb="FF595959"/>
        <rFont val="Noto Sans CJK SC"/>
        <family val="2"/>
      </rPr>
      <t xml:space="preserve">東側</t>
    </r>
    <r>
      <rPr>
        <i val="true"/>
        <sz val="10"/>
        <color rgb="FF595959"/>
        <rFont val="Microsoft JhengHei"/>
        <family val="0"/>
        <charset val="1"/>
      </rPr>
      <t xml:space="preserve">3</t>
    </r>
    <r>
      <rPr>
        <i val="true"/>
        <sz val="10"/>
        <color rgb="FF595959"/>
        <rFont val="Noto Sans CJK SC"/>
        <family val="2"/>
      </rPr>
      <t xml:space="preserve">株捲葉已拔除</t>
    </r>
  </si>
  <si>
    <t xml:space="preserve">施肥與灌溉紀錄</t>
  </si>
  <si>
    <t xml:space="preserve">肥料名稱</t>
  </si>
  <si>
    <r>
      <rPr>
        <b val="true"/>
        <sz val="10"/>
        <color rgb="FFFFFFFF"/>
        <rFont val="Noto Sans CJK SC"/>
        <family val="2"/>
      </rPr>
      <t xml:space="preserve">成分 </t>
    </r>
    <r>
      <rPr>
        <b val="true"/>
        <sz val="10"/>
        <color rgb="FFFFFFFF"/>
        <rFont val="Microsoft JhengHei"/>
        <family val="0"/>
        <charset val="1"/>
      </rPr>
      <t xml:space="preserve">N-P₂O₅-K₂O</t>
    </r>
  </si>
  <si>
    <r>
      <rPr>
        <b val="true"/>
        <sz val="10"/>
        <color rgb="FFFFFFFF"/>
        <rFont val="Noto Sans CJK SC"/>
        <family val="2"/>
      </rPr>
      <t xml:space="preserve">用量</t>
    </r>
    <r>
      <rPr>
        <b val="true"/>
        <sz val="10"/>
        <color rgb="FFFFFFFF"/>
        <rFont val="Microsoft JhengHei"/>
        <family val="0"/>
        <charset val="1"/>
      </rPr>
      <t xml:space="preserve">(kg)</t>
    </r>
  </si>
  <si>
    <r>
      <rPr>
        <b val="true"/>
        <sz val="10"/>
        <color rgb="FFFFFFFF"/>
        <rFont val="Noto Sans CJK SC"/>
        <family val="2"/>
      </rPr>
      <t xml:space="preserve">稀釋倍數</t>
    </r>
    <r>
      <rPr>
        <b val="true"/>
        <sz val="10"/>
        <color rgb="FFFFFFFF"/>
        <rFont val="Microsoft JhengHei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滴灌時間</t>
    </r>
  </si>
  <si>
    <t xml:space="preserve">施用方式</t>
  </si>
  <si>
    <r>
      <rPr>
        <b val="true"/>
        <sz val="10"/>
        <color rgb="FFFFFFFF"/>
        <rFont val="Noto Sans CJK SC"/>
        <family val="2"/>
      </rPr>
      <t xml:space="preserve">土壤</t>
    </r>
    <r>
      <rPr>
        <b val="true"/>
        <sz val="10"/>
        <color rgb="FFFFFFFF"/>
        <rFont val="Microsoft JhengHei"/>
        <family val="0"/>
        <charset val="1"/>
      </rPr>
      <t xml:space="preserve">EC(dS/m)</t>
    </r>
  </si>
  <si>
    <r>
      <rPr>
        <b val="true"/>
        <sz val="10"/>
        <color rgb="FFFFFFFF"/>
        <rFont val="Noto Sans CJK SC"/>
        <family val="2"/>
      </rPr>
      <t xml:space="preserve">土壤</t>
    </r>
    <r>
      <rPr>
        <b val="true"/>
        <sz val="10"/>
        <color rgb="FFFFFFFF"/>
        <rFont val="Microsoft JhengHei"/>
        <family val="0"/>
        <charset val="1"/>
      </rPr>
      <t xml:space="preserve">pH</t>
    </r>
  </si>
  <si>
    <t xml:space="preserve">硝酸鉀</t>
  </si>
  <si>
    <t xml:space="preserve">13-0-46</t>
  </si>
  <si>
    <r>
      <rPr>
        <i val="true"/>
        <sz val="10"/>
        <color rgb="FF595959"/>
        <rFont val="Noto Sans CJK SC"/>
        <family val="2"/>
      </rPr>
      <t xml:space="preserve">隨滴灌</t>
    </r>
    <r>
      <rPr>
        <i val="true"/>
        <sz val="10"/>
        <color rgb="FF595959"/>
        <rFont val="Microsoft JhengHei"/>
        <family val="0"/>
        <charset val="1"/>
      </rPr>
      <t xml:space="preserve">10</t>
    </r>
    <r>
      <rPr>
        <i val="true"/>
        <sz val="10"/>
        <color rgb="FF595959"/>
        <rFont val="Noto Sans CJK SC"/>
        <family val="2"/>
      </rPr>
      <t xml:space="preserve">分鐘</t>
    </r>
  </si>
  <si>
    <t xml:space="preserve">滴灌施肥</t>
  </si>
  <si>
    <t xml:space="preserve">李大華</t>
  </si>
  <si>
    <t xml:space="preserve">病蟲害監測與防治紀錄</t>
  </si>
  <si>
    <r>
      <rPr>
        <b val="true"/>
        <sz val="10"/>
        <color rgb="FFFFFFFF"/>
        <rFont val="Noto Sans CJK SC"/>
        <family val="2"/>
      </rPr>
      <t xml:space="preserve">病蟲害</t>
    </r>
    <r>
      <rPr>
        <b val="true"/>
        <sz val="10"/>
        <color rgb="FFFFFFFF"/>
        <rFont val="Microsoft JhengHei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監測項目</t>
    </r>
  </si>
  <si>
    <r>
      <rPr>
        <b val="true"/>
        <sz val="10"/>
        <color rgb="FFFFFFFF"/>
        <rFont val="Noto Sans CJK SC"/>
        <family val="2"/>
      </rPr>
      <t xml:space="preserve">黏紙計數</t>
    </r>
    <r>
      <rPr>
        <b val="true"/>
        <sz val="10"/>
        <color rgb="FFFFFFFF"/>
        <rFont val="Microsoft JhengHe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隻</t>
    </r>
    <r>
      <rPr>
        <b val="true"/>
        <sz val="10"/>
        <color rgb="FFFFFFFF"/>
        <rFont val="Microsoft JhengHei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張</t>
    </r>
    <r>
      <rPr>
        <b val="true"/>
        <sz val="10"/>
        <color rgb="FFFFFFFF"/>
        <rFont val="Microsoft JhengHe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</si>
  <si>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資材名稱</t>
    </r>
    <r>
      <rPr>
        <b val="true"/>
        <sz val="10"/>
        <color rgb="FFFFFFFF"/>
        <rFont val="Microsoft JhengHe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有效成分</t>
    </r>
    <r>
      <rPr>
        <b val="true"/>
        <sz val="10"/>
        <color rgb="FFFFFFFF"/>
        <rFont val="Microsoft JhengHei"/>
        <family val="0"/>
        <charset val="1"/>
      </rPr>
      <t xml:space="preserve">%</t>
    </r>
    <r>
      <rPr>
        <b val="true"/>
        <sz val="10"/>
        <color rgb="FFFFFFFF"/>
        <rFont val="Noto Sans CJK SC"/>
        <family val="2"/>
      </rPr>
      <t xml:space="preserve">與劑型</t>
    </r>
    <r>
      <rPr>
        <b val="true"/>
        <sz val="10"/>
        <color rgb="FFFFFFFF"/>
        <rFont val="Microsoft JhengHei"/>
        <family val="0"/>
        <charset val="1"/>
      </rPr>
      <t xml:space="preserve">)</t>
    </r>
  </si>
  <si>
    <t xml:space="preserve">許可證字號</t>
  </si>
  <si>
    <t xml:space="preserve">稀釋倍數</t>
  </si>
  <si>
    <r>
      <rPr>
        <b val="true"/>
        <sz val="10"/>
        <color rgb="FFFFFFFF"/>
        <rFont val="Noto Sans CJK SC"/>
        <family val="2"/>
      </rPr>
      <t xml:space="preserve">用水量</t>
    </r>
    <r>
      <rPr>
        <b val="true"/>
        <sz val="10"/>
        <color rgb="FFFFFFFF"/>
        <rFont val="Microsoft JhengHei"/>
        <family val="0"/>
        <charset val="1"/>
      </rPr>
      <t xml:space="preserve">(L)</t>
    </r>
  </si>
  <si>
    <r>
      <rPr>
        <b val="true"/>
        <sz val="10"/>
        <color rgb="FFFFFFFF"/>
        <rFont val="Noto Sans CJK SC"/>
        <family val="2"/>
      </rPr>
      <t xml:space="preserve">安全採收期</t>
    </r>
    <r>
      <rPr>
        <b val="true"/>
        <sz val="10"/>
        <color rgb="FFFFFFFF"/>
        <rFont val="Microsoft JhengHe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天</t>
    </r>
    <r>
      <rPr>
        <b val="true"/>
        <sz val="10"/>
        <color rgb="FFFFFFFF"/>
        <rFont val="Microsoft JhengHei"/>
        <family val="0"/>
        <charset val="1"/>
      </rPr>
      <t xml:space="preserve">)</t>
    </r>
  </si>
  <si>
    <t xml:space="preserve">最早可採收日</t>
  </si>
  <si>
    <t xml:space="preserve">銀葉粉蝨</t>
  </si>
  <si>
    <r>
      <rPr>
        <i val="true"/>
        <sz val="10"/>
        <color rgb="FF595959"/>
        <rFont val="Microsoft JhengHei"/>
        <family val="0"/>
        <charset val="1"/>
      </rPr>
      <t xml:space="preserve">(</t>
    </r>
    <r>
      <rPr>
        <i val="true"/>
        <sz val="10"/>
        <color rgb="FF595959"/>
        <rFont val="Noto Sans CJK SC"/>
        <family val="2"/>
      </rPr>
      <t xml:space="preserve">請填登記藥劑名稱</t>
    </r>
    <r>
      <rPr>
        <i val="true"/>
        <sz val="10"/>
        <color rgb="FF595959"/>
        <rFont val="Microsoft JhengHei"/>
        <family val="0"/>
        <charset val="1"/>
      </rPr>
      <t xml:space="preserve">)</t>
    </r>
  </si>
  <si>
    <r>
      <rPr>
        <i val="true"/>
        <sz val="10"/>
        <color rgb="FF595959"/>
        <rFont val="Microsoft JhengHei"/>
        <family val="0"/>
        <charset val="1"/>
      </rPr>
      <t xml:space="preserve">(</t>
    </r>
    <r>
      <rPr>
        <i val="true"/>
        <sz val="10"/>
        <color rgb="FF595959"/>
        <rFont val="Noto Sans CJK SC"/>
        <family val="2"/>
      </rPr>
      <t xml:space="preserve">請填</t>
    </r>
    <r>
      <rPr>
        <i val="true"/>
        <sz val="10"/>
        <color rgb="FF595959"/>
        <rFont val="Microsoft JhengHei"/>
        <family val="0"/>
        <charset val="1"/>
      </rPr>
      <t xml:space="preserve">)</t>
    </r>
  </si>
  <si>
    <t xml:space="preserve">每日溫濕度與授粉紀錄</t>
  </si>
  <si>
    <t xml:space="preserve">棟別</t>
  </si>
  <si>
    <r>
      <rPr>
        <b val="true"/>
        <sz val="10"/>
        <color rgb="FFFFFFFF"/>
        <rFont val="Noto Sans CJK SC"/>
        <family val="2"/>
      </rPr>
      <t xml:space="preserve">最高溫</t>
    </r>
    <r>
      <rPr>
        <b val="true"/>
        <sz val="10"/>
        <color rgb="FFFFFFFF"/>
        <rFont val="Microsoft JhengHei"/>
        <family val="0"/>
        <charset val="1"/>
      </rPr>
      <t xml:space="preserve">(°C)</t>
    </r>
  </si>
  <si>
    <r>
      <rPr>
        <b val="true"/>
        <sz val="10"/>
        <color rgb="FFFFFFFF"/>
        <rFont val="Noto Sans CJK SC"/>
        <family val="2"/>
      </rPr>
      <t xml:space="preserve">最低溫</t>
    </r>
    <r>
      <rPr>
        <b val="true"/>
        <sz val="10"/>
        <color rgb="FFFFFFFF"/>
        <rFont val="Microsoft JhengHei"/>
        <family val="0"/>
        <charset val="1"/>
      </rPr>
      <t xml:space="preserve">(°C)</t>
    </r>
  </si>
  <si>
    <r>
      <rPr>
        <b val="true"/>
        <sz val="10"/>
        <color rgb="FFFFFFFF"/>
        <rFont val="Noto Sans CJK SC"/>
        <family val="2"/>
      </rPr>
      <t xml:space="preserve">最高</t>
    </r>
    <r>
      <rPr>
        <b val="true"/>
        <sz val="10"/>
        <color rgb="FFFFFFFF"/>
        <rFont val="Microsoft JhengHei"/>
        <family val="0"/>
        <charset val="1"/>
      </rPr>
      <t xml:space="preserve">RH(%)</t>
    </r>
  </si>
  <si>
    <r>
      <rPr>
        <b val="true"/>
        <sz val="10"/>
        <color rgb="FFFFFFFF"/>
        <rFont val="Noto Sans CJK SC"/>
        <family val="2"/>
      </rPr>
      <t xml:space="preserve">最低</t>
    </r>
    <r>
      <rPr>
        <b val="true"/>
        <sz val="10"/>
        <color rgb="FFFFFFFF"/>
        <rFont val="Microsoft JhengHei"/>
        <family val="0"/>
        <charset val="1"/>
      </rPr>
      <t xml:space="preserve">RH(%)</t>
    </r>
  </si>
  <si>
    <t xml:space="preserve">高溫警示</t>
  </si>
  <si>
    <r>
      <rPr>
        <b val="true"/>
        <sz val="10"/>
        <color rgb="FFFFFFFF"/>
        <rFont val="Noto Sans CJK SC"/>
        <family val="2"/>
      </rPr>
      <t xml:space="preserve">通風</t>
    </r>
    <r>
      <rPr>
        <b val="true"/>
        <sz val="10"/>
        <color rgb="FFFFFFFF"/>
        <rFont val="Microsoft JhengHei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遮陰</t>
    </r>
    <r>
      <rPr>
        <b val="true"/>
        <sz val="10"/>
        <color rgb="FFFFFFFF"/>
        <rFont val="Microsoft JhengHei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風扇操作</t>
    </r>
  </si>
  <si>
    <r>
      <rPr>
        <b val="true"/>
        <sz val="10"/>
        <color rgb="FFFFFFFF"/>
        <rFont val="Noto Sans CJK SC"/>
        <family val="2"/>
      </rPr>
      <t xml:space="preserve">熊蜂咬痕</t>
    </r>
    <r>
      <rPr>
        <b val="true"/>
        <sz val="10"/>
        <color rgb="FFFFFFFF"/>
        <rFont val="Microsoft JhengHei"/>
        <family val="0"/>
        <charset val="1"/>
      </rPr>
      <t xml:space="preserve">(20</t>
    </r>
    <r>
      <rPr>
        <b val="true"/>
        <sz val="10"/>
        <color rgb="FFFFFFFF"/>
        <rFont val="Noto Sans CJK SC"/>
        <family val="2"/>
      </rPr>
      <t xml:space="preserve">朵中有咬痕朵數</t>
    </r>
    <r>
      <rPr>
        <b val="true"/>
        <sz val="10"/>
        <color rgb="FFFFFFFF"/>
        <rFont val="Microsoft JhengHei"/>
        <family val="0"/>
        <charset val="1"/>
      </rPr>
      <t xml:space="preserve">)</t>
    </r>
  </si>
  <si>
    <t xml:space="preserve">咬痕率</t>
  </si>
  <si>
    <t xml:space="preserve">記錄人</t>
  </si>
  <si>
    <r>
      <rPr>
        <i val="true"/>
        <sz val="10"/>
        <color rgb="FF595959"/>
        <rFont val="Microsoft JhengHei"/>
        <family val="0"/>
        <charset val="1"/>
      </rPr>
      <t xml:space="preserve">07:00</t>
    </r>
    <r>
      <rPr>
        <i val="true"/>
        <sz val="10"/>
        <color rgb="FF595959"/>
        <rFont val="Noto Sans CJK SC"/>
        <family val="2"/>
      </rPr>
      <t xml:space="preserve">開側窗、開循環扇</t>
    </r>
  </si>
  <si>
    <r>
      <rPr>
        <b val="true"/>
        <sz val="16"/>
        <color rgb="FF2F5233"/>
        <rFont val="Noto Sans CJK SC"/>
        <family val="2"/>
      </rPr>
      <t xml:space="preserve">每週生長量測紀錄</t>
    </r>
    <r>
      <rPr>
        <b val="true"/>
        <sz val="16"/>
        <color rgb="FF2F5233"/>
        <rFont val="Microsoft JhengHei"/>
        <family val="0"/>
        <charset val="1"/>
      </rPr>
      <t xml:space="preserve">(</t>
    </r>
    <r>
      <rPr>
        <b val="true"/>
        <sz val="16"/>
        <color rgb="FF2F5233"/>
        <rFont val="Noto Sans CJK SC"/>
        <family val="2"/>
      </rPr>
      <t xml:space="preserve">固定</t>
    </r>
    <r>
      <rPr>
        <b val="true"/>
        <sz val="16"/>
        <color rgb="FF2F5233"/>
        <rFont val="Microsoft JhengHei"/>
        <family val="0"/>
        <charset val="1"/>
      </rPr>
      <t xml:space="preserve">10</t>
    </r>
    <r>
      <rPr>
        <b val="true"/>
        <sz val="16"/>
        <color rgb="FF2F5233"/>
        <rFont val="Noto Sans CJK SC"/>
        <family val="2"/>
      </rPr>
      <t xml:space="preserve">株</t>
    </r>
    <r>
      <rPr>
        <b val="true"/>
        <sz val="16"/>
        <color rgb="FF2F5233"/>
        <rFont val="Microsoft JhengHei"/>
        <family val="0"/>
        <charset val="1"/>
      </rPr>
      <t xml:space="preserve">)</t>
    </r>
  </si>
  <si>
    <t xml:space="preserve">株號</t>
  </si>
  <si>
    <r>
      <rPr>
        <b val="true"/>
        <sz val="10"/>
        <color rgb="FFFFFFFF"/>
        <rFont val="Noto Sans CJK SC"/>
        <family val="2"/>
      </rPr>
      <t xml:space="preserve">莖徑</t>
    </r>
    <r>
      <rPr>
        <b val="true"/>
        <sz val="10"/>
        <color rgb="FFFFFFFF"/>
        <rFont val="Microsoft JhengHei"/>
        <family val="0"/>
        <charset val="1"/>
      </rPr>
      <t xml:space="preserve">(mm)</t>
    </r>
  </si>
  <si>
    <r>
      <rPr>
        <b val="true"/>
        <sz val="10"/>
        <color rgb="FFFFFFFF"/>
        <rFont val="Noto Sans CJK SC"/>
        <family val="2"/>
      </rPr>
      <t xml:space="preserve">生長點至開花花序距離</t>
    </r>
    <r>
      <rPr>
        <b val="true"/>
        <sz val="10"/>
        <color rgb="FFFFFFFF"/>
        <rFont val="Microsoft JhengHei"/>
        <family val="0"/>
        <charset val="1"/>
      </rPr>
      <t xml:space="preserve">(cm)</t>
    </r>
  </si>
  <si>
    <t xml:space="preserve">本週新開花序數</t>
  </si>
  <si>
    <t xml:space="preserve">本週著果數</t>
  </si>
  <si>
    <t xml:space="preserve">植株判斷</t>
  </si>
  <si>
    <t xml:space="preserve">採收與出貨紀錄</t>
  </si>
  <si>
    <t xml:space="preserve">採收日期</t>
  </si>
  <si>
    <t xml:space="preserve">採收人員</t>
  </si>
  <si>
    <r>
      <rPr>
        <b val="true"/>
        <sz val="10"/>
        <color rgb="FFFFFFFF"/>
        <rFont val="Noto Sans CJK SC"/>
        <family val="2"/>
      </rPr>
      <t xml:space="preserve">採收量</t>
    </r>
    <r>
      <rPr>
        <b val="true"/>
        <sz val="10"/>
        <color rgb="FFFFFFFF"/>
        <rFont val="Microsoft JhengHei"/>
        <family val="0"/>
        <charset val="1"/>
      </rPr>
      <t xml:space="preserve">(kg)</t>
    </r>
  </si>
  <si>
    <r>
      <rPr>
        <b val="true"/>
        <sz val="10"/>
        <color rgb="FFFFFFFF"/>
        <rFont val="Noto Sans CJK SC"/>
        <family val="2"/>
      </rPr>
      <t xml:space="preserve">糖度</t>
    </r>
    <r>
      <rPr>
        <b val="true"/>
        <sz val="10"/>
        <color rgb="FFFFFFFF"/>
        <rFont val="Microsoft JhengHei"/>
        <family val="0"/>
        <charset val="1"/>
      </rPr>
      <t xml:space="preserve">(°Brix)</t>
    </r>
  </si>
  <si>
    <r>
      <rPr>
        <b val="true"/>
        <sz val="10"/>
        <color rgb="FFFFFFFF"/>
        <rFont val="Noto Sans CJK SC"/>
        <family val="2"/>
      </rPr>
      <t xml:space="preserve">特級</t>
    </r>
    <r>
      <rPr>
        <b val="true"/>
        <sz val="10"/>
        <color rgb="FFFFFFFF"/>
        <rFont val="Microsoft JhengHei"/>
        <family val="0"/>
        <charset val="1"/>
      </rPr>
      <t xml:space="preserve">(kg)</t>
    </r>
  </si>
  <si>
    <r>
      <rPr>
        <b val="true"/>
        <sz val="10"/>
        <color rgb="FFFFFFFF"/>
        <rFont val="Noto Sans CJK SC"/>
        <family val="2"/>
      </rPr>
      <t xml:space="preserve">次級</t>
    </r>
    <r>
      <rPr>
        <b val="true"/>
        <sz val="10"/>
        <color rgb="FFFFFFFF"/>
        <rFont val="Microsoft JhengHei"/>
        <family val="0"/>
        <charset val="1"/>
      </rPr>
      <t xml:space="preserve">(kg)</t>
    </r>
  </si>
  <si>
    <r>
      <rPr>
        <b val="true"/>
        <sz val="10"/>
        <color rgb="FFFFFFFF"/>
        <rFont val="Noto Sans CJK SC"/>
        <family val="2"/>
      </rPr>
      <t xml:space="preserve">格外品</t>
    </r>
    <r>
      <rPr>
        <b val="true"/>
        <sz val="10"/>
        <color rgb="FFFFFFFF"/>
        <rFont val="Microsoft JhengHei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裂果</t>
    </r>
    <r>
      <rPr>
        <b val="true"/>
        <sz val="10"/>
        <color rgb="FFFFFFFF"/>
        <rFont val="Microsoft JhengHei"/>
        <family val="0"/>
        <charset val="1"/>
      </rPr>
      <t xml:space="preserve">(kg)</t>
    </r>
  </si>
  <si>
    <t xml:space="preserve">特級比例</t>
  </si>
  <si>
    <r>
      <rPr>
        <b val="true"/>
        <sz val="10"/>
        <color rgb="FFFFFFFF"/>
        <rFont val="Noto Sans CJK SC"/>
        <family val="2"/>
      </rPr>
      <t xml:space="preserve">冷藏溫度</t>
    </r>
    <r>
      <rPr>
        <b val="true"/>
        <sz val="10"/>
        <color rgb="FFFFFFFF"/>
        <rFont val="Microsoft JhengHei"/>
        <family val="0"/>
        <charset val="1"/>
      </rPr>
      <t xml:space="preserve">(°C)</t>
    </r>
  </si>
  <si>
    <t xml:space="preserve">出貨對象</t>
  </si>
  <si>
    <r>
      <rPr>
        <b val="true"/>
        <sz val="10"/>
        <color rgb="FFFFFFFF"/>
        <rFont val="Noto Sans CJK SC"/>
        <family val="2"/>
      </rPr>
      <t xml:space="preserve">出貨量</t>
    </r>
    <r>
      <rPr>
        <b val="true"/>
        <sz val="10"/>
        <color rgb="FFFFFFFF"/>
        <rFont val="Microsoft JhengHei"/>
        <family val="0"/>
        <charset val="1"/>
      </rPr>
      <t xml:space="preserve">(kg)</t>
    </r>
  </si>
  <si>
    <t xml:space="preserve">陳阿美</t>
  </si>
  <si>
    <t xml:space="preserve">○○合作社</t>
  </si>
  <si>
    <t xml:space="preserve">資料來源</t>
  </si>
  <si>
    <r>
      <rPr>
        <sz val="10"/>
        <color rgb="FF595959"/>
        <rFont val="Noto Sans CJK SC"/>
        <family val="2"/>
      </rPr>
      <t xml:space="preserve">表中「來源」欄代碼對照</t>
    </r>
    <r>
      <rPr>
        <sz val="10"/>
        <color rgb="FF595959"/>
        <rFont val="Microsoft JhengHei"/>
        <family val="0"/>
        <charset val="1"/>
      </rPr>
      <t xml:space="preserve">;</t>
    </r>
    <r>
      <rPr>
        <sz val="10"/>
        <color rgb="FF595959"/>
        <rFont val="Noto Sans CJK SC"/>
        <family val="2"/>
      </rPr>
      <t xml:space="preserve">資料彙整於</t>
    </r>
    <r>
      <rPr>
        <sz val="10"/>
        <color rgb="FF595959"/>
        <rFont val="Microsoft JhengHei"/>
        <family val="0"/>
        <charset val="1"/>
      </rPr>
      <t xml:space="preserve">2026</t>
    </r>
    <r>
      <rPr>
        <sz val="10"/>
        <color rgb="FF595959"/>
        <rFont val="Noto Sans CJK SC"/>
        <family val="2"/>
      </rPr>
      <t xml:space="preserve">年</t>
    </r>
    <r>
      <rPr>
        <sz val="10"/>
        <color rgb="FF595959"/>
        <rFont val="Microsoft JhengHei"/>
        <family val="0"/>
        <charset val="1"/>
      </rPr>
      <t xml:space="preserve">9</t>
    </r>
    <r>
      <rPr>
        <sz val="10"/>
        <color rgb="FF595959"/>
        <rFont val="Noto Sans CJK SC"/>
        <family val="2"/>
      </rPr>
      <t xml:space="preserve">月</t>
    </r>
  </si>
  <si>
    <t xml:space="preserve">代碼</t>
  </si>
  <si>
    <t xml:space="preserve">文件名稱</t>
  </si>
  <si>
    <t xml:space="preserve">網址</t>
  </si>
  <si>
    <r>
      <rPr>
        <sz val="10"/>
        <color rgb="FF000000"/>
        <rFont val="Noto Sans CJK SC"/>
        <family val="2"/>
      </rPr>
      <t xml:space="preserve">臺南區農業改良場｜小果番茄栽培管理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技術專刊</t>
    </r>
    <r>
      <rPr>
        <sz val="10"/>
        <color rgb="FF000000"/>
        <rFont val="Microsoft JhengHei"/>
        <family val="0"/>
        <charset val="1"/>
      </rPr>
      <t xml:space="preserve">)</t>
    </r>
  </si>
  <si>
    <t xml:space="preserve">https://book.tndais.gov.tw/Brochure/tech96.htm</t>
  </si>
  <si>
    <r>
      <rPr>
        <sz val="10"/>
        <color rgb="FF000000"/>
        <rFont val="Noto Sans CJK SC"/>
        <family val="2"/>
      </rPr>
      <t xml:space="preserve">產銷履歷 臺灣良好農業規範</t>
    </r>
    <r>
      <rPr>
        <sz val="10"/>
        <color rgb="FF000000"/>
        <rFont val="Microsoft JhengHei"/>
        <family val="0"/>
        <charset val="1"/>
      </rPr>
      <t xml:space="preserve">(TGAP)-</t>
    </r>
    <r>
      <rPr>
        <sz val="10"/>
        <color rgb="FF000000"/>
        <rFont val="Noto Sans CJK SC"/>
        <family val="2"/>
      </rPr>
      <t xml:space="preserve">蔬菜類</t>
    </r>
    <r>
      <rPr>
        <sz val="10"/>
        <color rgb="FF000000"/>
        <rFont val="Microsoft JhengHei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番茄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臺中區農業改良場編撰</t>
    </r>
    <r>
      <rPr>
        <sz val="10"/>
        <color rgb="FF000000"/>
        <rFont val="Microsoft JhengHei"/>
        <family val="0"/>
        <charset val="1"/>
      </rPr>
      <t xml:space="preserve">,2021</t>
    </r>
    <r>
      <rPr>
        <sz val="10"/>
        <color rgb="FF000000"/>
        <rFont val="Noto Sans CJK SC"/>
        <family val="2"/>
      </rPr>
      <t xml:space="preserve">年版</t>
    </r>
    <r>
      <rPr>
        <sz val="10"/>
        <color rgb="FF000000"/>
        <rFont val="Microsoft JhengHei"/>
        <family val="0"/>
        <charset val="1"/>
      </rPr>
      <t xml:space="preserve">)</t>
    </r>
  </si>
  <si>
    <t xml:space="preserve">https://gazette.nat.gov.tw/EG_FileManager/eguploadpub/eg027026/ch07/type3/gov62/num67/images/BB.pdf</t>
  </si>
  <si>
    <t xml:space="preserve">農業部｜設施番茄之養液土耕栽培技術</t>
  </si>
  <si>
    <t xml:space="preserve">https://www.moa.gov.tw/ws.php?id=19487</t>
  </si>
  <si>
    <r>
      <rPr>
        <sz val="10"/>
        <color rgb="FF000000"/>
        <rFont val="Noto Sans CJK SC"/>
        <family val="2"/>
      </rPr>
      <t xml:space="preserve">農業知識入口網｜設施小果番茄高溫下生長障礙與調適策略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蔡璿如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農業試驗所</t>
    </r>
    <r>
      <rPr>
        <sz val="10"/>
        <color rgb="FF000000"/>
        <rFont val="Microsoft JhengHei"/>
        <family val="0"/>
        <charset val="1"/>
      </rPr>
      <t xml:space="preserve">)</t>
    </r>
  </si>
  <si>
    <t xml:space="preserve">https://kmweb.moa.gov.tw/knowledgebase.php?func=1&amp;type=12815&amp;id=423553</t>
  </si>
  <si>
    <r>
      <rPr>
        <sz val="10"/>
        <color rgb="FF000000"/>
        <rFont val="Noto Sans CJK SC"/>
        <family val="2"/>
      </rPr>
      <t xml:space="preserve">臺中區農業改良場研究彙報</t>
    </r>
    <r>
      <rPr>
        <sz val="10"/>
        <color rgb="FF000000"/>
        <rFont val="Microsoft JhengHei"/>
        <family val="0"/>
        <charset val="1"/>
      </rPr>
      <t xml:space="preserve">159:43-56(2023)</t>
    </r>
    <r>
      <rPr>
        <sz val="10"/>
        <color rgb="FF000000"/>
        <rFont val="Noto Sans CJK SC"/>
        <family val="2"/>
      </rPr>
      <t xml:space="preserve">｜不同鉀肥處理對設施小果番茄生育及品質之影響</t>
    </r>
  </si>
  <si>
    <t xml:space="preserve">https://www.tcdares.gov.tw/files/tdais/web_structure/13097/A01_1.pdf</t>
  </si>
  <si>
    <t xml:space="preserve">S6</t>
  </si>
  <si>
    <r>
      <rPr>
        <sz val="10"/>
        <color rgb="FF000000"/>
        <rFont val="Noto Sans CJK SC"/>
        <family val="2"/>
      </rPr>
      <t xml:space="preserve">臺南區農業專訊</t>
    </r>
    <r>
      <rPr>
        <sz val="10"/>
        <color rgb="FF000000"/>
        <rFont val="Microsoft JhengHei"/>
        <family val="0"/>
        <charset val="1"/>
      </rPr>
      <t xml:space="preserve">100</t>
    </r>
    <r>
      <rPr>
        <sz val="10"/>
        <color rgb="FF000000"/>
        <rFont val="Noto Sans CJK SC"/>
        <family val="2"/>
      </rPr>
      <t xml:space="preserve">期｜番茄青枯病防治實務</t>
    </r>
  </si>
  <si>
    <t xml:space="preserve">https://book.tndais.gov.tw/Magazine/mag100/100-4.pdf</t>
  </si>
  <si>
    <r>
      <rPr>
        <sz val="10"/>
        <color rgb="FF000000"/>
        <rFont val="Noto Sans CJK SC"/>
        <family val="2"/>
      </rPr>
      <t xml:space="preserve">臺南區農業專訊</t>
    </r>
    <r>
      <rPr>
        <sz val="10"/>
        <color rgb="FF000000"/>
        <rFont val="Microsoft JhengHei"/>
        <family val="0"/>
        <charset val="1"/>
      </rPr>
      <t xml:space="preserve">35</t>
    </r>
    <r>
      <rPr>
        <sz val="10"/>
        <color rgb="FF000000"/>
        <rFont val="Noto Sans CJK SC"/>
        <family val="2"/>
      </rPr>
      <t xml:space="preserve">期｜番茄嫁接茄子根砧防治土傳病害</t>
    </r>
  </si>
  <si>
    <t xml:space="preserve">https://book.tndais.gov.tw/Magazine/mag35-1.htm</t>
  </si>
  <si>
    <r>
      <rPr>
        <sz val="10"/>
        <color rgb="FF000000"/>
        <rFont val="Noto Sans CJK SC"/>
        <family val="2"/>
      </rPr>
      <t xml:space="preserve">臺南區農業改良場｜番茄健康管理生產體系之病蟲害管理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吳雅芳等</t>
    </r>
    <r>
      <rPr>
        <sz val="10"/>
        <color rgb="FF000000"/>
        <rFont val="Microsoft JhengHei"/>
        <family val="0"/>
        <charset val="1"/>
      </rPr>
      <t xml:space="preserve">)</t>
    </r>
  </si>
  <si>
    <t xml:space="preserve">https://kmweb.moa.gov.tw/redirect_files.php?theme=knowledgebase&amp;id=456949</t>
  </si>
  <si>
    <r>
      <rPr>
        <sz val="10"/>
        <color rgb="FF000000"/>
        <rFont val="Noto Sans CJK SC"/>
        <family val="2"/>
      </rPr>
      <t xml:space="preserve">農傳媒｜掌握番茄栽培關鍵</t>
    </r>
    <r>
      <rPr>
        <sz val="10"/>
        <color rgb="FF000000"/>
        <rFont val="Microsoft JhengHei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防治落花落果</t>
    </r>
  </si>
  <si>
    <t xml:space="preserve">https://www.agriharvest.tw/archives/112232/</t>
  </si>
  <si>
    <r>
      <rPr>
        <sz val="10"/>
        <color rgb="FF000000"/>
        <rFont val="Noto Sans CJK SC"/>
        <family val="2"/>
      </rPr>
      <t xml:space="preserve">農業知識入口網｜設施栽培養土祕訣 肥培管理防止土壤鹽化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黃瑞彰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臺南場</t>
    </r>
    <r>
      <rPr>
        <sz val="10"/>
        <color rgb="FF000000"/>
        <rFont val="Microsoft JhengHei"/>
        <family val="0"/>
        <charset val="1"/>
      </rPr>
      <t xml:space="preserve">)</t>
    </r>
  </si>
  <si>
    <t xml:space="preserve">https://kmweb.moa.gov.tw/theme_data.php?theme=news&amp;sub_theme=variety&amp;id=55647</t>
  </si>
  <si>
    <t xml:space="preserve">農業部 設施栽培作物蜂授粉技術與效益</t>
  </si>
  <si>
    <t xml:space="preserve">https://www.moa.gov.tw/ws.php?id=2506847</t>
  </si>
  <si>
    <r>
      <rPr>
        <sz val="10"/>
        <color rgb="FF000000"/>
        <rFont val="Noto Sans CJK SC"/>
        <family val="2"/>
      </rPr>
      <t xml:space="preserve">國外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美</t>
    </r>
    <r>
      <rPr>
        <sz val="10"/>
        <color rgb="FF000000"/>
        <rFont val="Microsoft JhengHei"/>
        <family val="0"/>
        <charset val="1"/>
      </rPr>
      <t xml:space="preserve">)</t>
    </r>
  </si>
  <si>
    <r>
      <rPr>
        <sz val="10"/>
        <color rgb="FF000000"/>
        <rFont val="Microsoft JhengHei"/>
        <family val="0"/>
        <charset val="1"/>
      </rPr>
      <t xml:space="preserve">Alabama Cooperative Extension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Microsoft JhengHei"/>
        <family val="0"/>
        <charset val="1"/>
      </rPr>
      <t xml:space="preserve">Greenhouse Tomato Production</t>
    </r>
  </si>
  <si>
    <t xml:space="preserve">https://www.aces.edu/blog/topics/crop-production/greenhouse-tomato-production/</t>
  </si>
  <si>
    <r>
      <rPr>
        <sz val="10"/>
        <color rgb="FF000000"/>
        <rFont val="Microsoft JhengHei"/>
        <family val="0"/>
        <charset val="1"/>
      </rPr>
      <t xml:space="preserve">UMass New England Vegetable Management Guide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Microsoft JhengHei"/>
        <family val="0"/>
        <charset val="1"/>
      </rPr>
      <t xml:space="preserve">Tomato, Greenhouse and High Tunnel</t>
    </r>
  </si>
  <si>
    <t xml:space="preserve">https://nevegetable.org/crops/tomato-greenhouse-and-high-tunnel</t>
  </si>
  <si>
    <r>
      <rPr>
        <sz val="10"/>
        <color rgb="FF000000"/>
        <rFont val="Microsoft JhengHei"/>
        <family val="0"/>
        <charset val="1"/>
      </rPr>
      <t xml:space="preserve">Greenhouse Grower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Microsoft JhengHei"/>
        <family val="0"/>
        <charset val="1"/>
      </rPr>
      <t xml:space="preserve">Your Guide to High-Wire Tomato Growing</t>
    </r>
  </si>
  <si>
    <t xml:space="preserve">https://www.greenhousegrower.com/production/your-guide-to-high-wire-tomato-growing/</t>
  </si>
  <si>
    <r>
      <rPr>
        <sz val="10"/>
        <color rgb="FF000000"/>
        <rFont val="Noto Sans CJK SC"/>
        <family val="2"/>
      </rPr>
      <t xml:space="preserve">國外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歐</t>
    </r>
    <r>
      <rPr>
        <sz val="10"/>
        <color rgb="FF000000"/>
        <rFont val="Microsoft JhengHei"/>
        <family val="0"/>
        <charset val="1"/>
      </rPr>
      <t xml:space="preserve">)</t>
    </r>
  </si>
  <si>
    <r>
      <rPr>
        <sz val="10"/>
        <color rgb="FF000000"/>
        <rFont val="Microsoft JhengHei"/>
        <family val="0"/>
        <charset val="1"/>
      </rPr>
      <t xml:space="preserve">Ageon Crop Consulting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Microsoft JhengHei"/>
        <family val="0"/>
        <charset val="1"/>
      </rPr>
      <t xml:space="preserve">Crop Registration: understanding the tomato crop</t>
    </r>
  </si>
  <si>
    <t xml:space="preserve">https://ageoncropconsulting.com/crop-registration-undestanding-the-tomato-crop/</t>
  </si>
  <si>
    <r>
      <rPr>
        <sz val="10"/>
        <color rgb="FF000000"/>
        <rFont val="Microsoft JhengHei"/>
        <family val="0"/>
        <charset val="1"/>
      </rPr>
      <t xml:space="preserve">Shamshiri et al. 2018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Microsoft JhengHei"/>
        <family val="0"/>
        <charset val="1"/>
      </rPr>
      <t xml:space="preserve">Review of optimum temperature, humidity and VPD for greenhouse tomato (USDA-ARS </t>
    </r>
    <r>
      <rPr>
        <sz val="10"/>
        <color rgb="FF000000"/>
        <rFont val="Noto Sans CJK SC"/>
        <family val="2"/>
      </rPr>
      <t xml:space="preserve">典藏</t>
    </r>
    <r>
      <rPr>
        <sz val="10"/>
        <color rgb="FF000000"/>
        <rFont val="Microsoft JhengHei"/>
        <family val="0"/>
        <charset val="1"/>
      </rPr>
      <t xml:space="preserve">)</t>
    </r>
  </si>
  <si>
    <t xml:space="preserve">https://www.ars.usda.gov/ARSUserFiles/20200500/Pubs%202018/Shamshiri2018%20-%20review%20optimum%20microclimate%20greenhouse.pdf</t>
  </si>
  <si>
    <r>
      <rPr>
        <sz val="10"/>
        <color rgb="FF000000"/>
        <rFont val="Noto Sans CJK SC"/>
        <family val="2"/>
      </rPr>
      <t xml:space="preserve">國外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種苗商</t>
    </r>
    <r>
      <rPr>
        <sz val="10"/>
        <color rgb="FF000000"/>
        <rFont val="Microsoft JhengHei"/>
        <family val="0"/>
        <charset val="1"/>
      </rPr>
      <t xml:space="preserve">)</t>
    </r>
  </si>
  <si>
    <r>
      <rPr>
        <sz val="10"/>
        <color rgb="FF000000"/>
        <rFont val="Microsoft JhengHei"/>
        <family val="0"/>
        <charset val="1"/>
      </rPr>
      <t xml:space="preserve">Bayer Vegetables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Microsoft JhengHei"/>
        <family val="0"/>
        <charset val="1"/>
      </rPr>
      <t xml:space="preserve">Temperature, Humidity, and Water in Protected Culture Tomatoes</t>
    </r>
  </si>
  <si>
    <t xml:space="preserve">https://www.vegetables.bayer.com/us/en-us/resources/growing-tips-and-innovation-articles/cultivation-insights/temperature-humidity-and-water-in-protected-culture-tomatoes.html</t>
  </si>
  <si>
    <r>
      <rPr>
        <sz val="10"/>
        <color rgb="FF000000"/>
        <rFont val="Noto Sans CJK SC"/>
        <family val="2"/>
      </rPr>
      <t xml:space="preserve">國外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荷</t>
    </r>
    <r>
      <rPr>
        <sz val="10"/>
        <color rgb="FF000000"/>
        <rFont val="Microsoft JhengHei"/>
        <family val="0"/>
        <charset val="1"/>
      </rPr>
      <t xml:space="preserve">)</t>
    </r>
  </si>
  <si>
    <r>
      <rPr>
        <sz val="10"/>
        <color rgb="FF000000"/>
        <rFont val="Microsoft JhengHei"/>
        <family val="0"/>
        <charset val="1"/>
      </rPr>
      <t xml:space="preserve">Koppert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Microsoft JhengHei"/>
        <family val="0"/>
        <charset val="1"/>
      </rPr>
      <t xml:space="preserve">Tomato Pollination Checklist(</t>
    </r>
    <r>
      <rPr>
        <sz val="10"/>
        <color rgb="FF000000"/>
        <rFont val="Noto Sans CJK SC"/>
        <family val="2"/>
      </rPr>
      <t xml:space="preserve">熊蜂授粉檢查表</t>
    </r>
    <r>
      <rPr>
        <sz val="10"/>
        <color rgb="FF000000"/>
        <rFont val="Microsoft JhengHei"/>
        <family val="0"/>
        <charset val="1"/>
      </rPr>
      <t xml:space="preserve">)</t>
    </r>
  </si>
  <si>
    <t xml:space="preserve">https://www.koppert.com/news-information/knowledge-documents/pollination-checklist-tomato/</t>
  </si>
  <si>
    <r>
      <rPr>
        <sz val="10"/>
        <color rgb="FF000000"/>
        <rFont val="Microsoft JhengHei"/>
        <family val="0"/>
        <charset val="1"/>
      </rPr>
      <t xml:space="preserve">Rutgers Plant &amp; Pest Advisory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Microsoft JhengHei"/>
        <family val="0"/>
        <charset val="1"/>
      </rPr>
      <t xml:space="preserve">Pest Counts &amp; Action Thresholds in the Greenhouse</t>
    </r>
  </si>
  <si>
    <t xml:space="preserve">https://plant-pest-advisory.rutgers.edu/pest-counts-action-thresholds-in-the-greenhouse/</t>
  </si>
  <si>
    <r>
      <rPr>
        <sz val="10"/>
        <color rgb="FF000000"/>
        <rFont val="Microsoft JhengHei"/>
        <family val="0"/>
        <charset val="1"/>
      </rPr>
      <t xml:space="preserve">UC Davis Postharvest Center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Microsoft JhengHei"/>
        <family val="0"/>
        <charset val="1"/>
      </rPr>
      <t xml:space="preserve">Tomato Produce Fact Sheet</t>
    </r>
  </si>
  <si>
    <t xml:space="preserve">https://postharvest.ucdavis.edu/produce-facts-sheets/tomato</t>
  </si>
  <si>
    <t xml:space="preserve">S21</t>
  </si>
  <si>
    <r>
      <rPr>
        <sz val="10"/>
        <color rgb="FF000000"/>
        <rFont val="Microsoft JhengHei"/>
        <family val="0"/>
        <charset val="1"/>
      </rPr>
      <t xml:space="preserve">Koppert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Microsoft JhengHei"/>
        <family val="0"/>
        <charset val="1"/>
      </rPr>
      <t xml:space="preserve">A step-by-step guide to whitefly control</t>
    </r>
  </si>
  <si>
    <t xml:space="preserve">https://www.koppert.com/knowledge/a-step-by-step-guide-to-whitefly-control/</t>
  </si>
  <si>
    <t xml:space="preserve">S22</t>
  </si>
  <si>
    <r>
      <rPr>
        <sz val="10"/>
        <color rgb="FF000000"/>
        <rFont val="Noto Sans CJK SC"/>
        <family val="2"/>
      </rPr>
      <t xml:space="preserve">農業部動植物防疫檢疫署｜農藥資訊服務網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查詢番茄登記用藥</t>
    </r>
    <r>
      <rPr>
        <sz val="10"/>
        <color rgb="FF000000"/>
        <rFont val="Microsoft JhengHei"/>
        <family val="0"/>
        <charset val="1"/>
      </rPr>
      <t xml:space="preserve">)</t>
    </r>
  </si>
  <si>
    <t xml:space="preserve">https://pesticide.aphia.gov.tw/information/Query/Bug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</si>
</sst>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yyyy/mm/dd"/>
    <numFmt numFmtId="166" formatCode="#,##0"/>
    <numFmt numFmtId="167" formatCode="0.00"/>
    <numFmt numFmtId="168" formatCode="0"/>
    <numFmt numFmtId="169" formatCode="0%"/>
    <numFmt numFmtId="170" formatCode="0.0"/>
    <numFmt numFmtId="171" formatCode="0.0%"/>
    <numFmt numFmtId="172" formatCode="#,##0.0"/>
    <numFmt numFmtId="173" formatCode="mm/dd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5233"/>
      <name val="Noto Sans CJK SC"/>
      <family val="2"/>
    </font>
    <font>
      <sz val="10"/>
      <color rgb="FF595959"/>
      <name val="Noto Sans CJK SC"/>
      <family val="2"/>
    </font>
    <font>
      <sz val="10"/>
      <color rgb="FF595959"/>
      <name val="Microsoft JhengHei"/>
      <family val="0"/>
      <charset val="1"/>
    </font>
    <font>
      <b val="true"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Microsoft JhengHei"/>
      <family val="0"/>
      <charset val="1"/>
    </font>
    <font>
      <b val="true"/>
      <sz val="10"/>
      <color rgb="FF000000"/>
      <name val="Microsoft JhengHei"/>
      <family val="0"/>
      <charset val="1"/>
    </font>
    <font>
      <sz val="10"/>
      <color rgb="FF0000FF"/>
      <name val="Microsoft JhengHei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Microsoft JhengHei"/>
      <family val="0"/>
      <charset val="1"/>
    </font>
    <font>
      <i val="true"/>
      <sz val="10"/>
      <color rgb="FF000000"/>
      <name val="Noto Sans CJK SC"/>
      <family val="2"/>
    </font>
    <font>
      <i val="true"/>
      <sz val="10"/>
      <color rgb="FF000000"/>
      <name val="Microsoft JhengHei"/>
      <family val="0"/>
      <charset val="1"/>
    </font>
    <font>
      <b val="true"/>
      <sz val="16"/>
      <color rgb="FF2F5233"/>
      <name val="Microsoft JhengHei"/>
      <family val="0"/>
      <charset val="1"/>
    </font>
    <font>
      <sz val="10"/>
      <color rgb="FFC00000"/>
      <name val="Noto Sans CJK SC"/>
      <family val="2"/>
    </font>
    <font>
      <i val="true"/>
      <sz val="10"/>
      <color rgb="FF595959"/>
      <name val="Microsoft JhengHei"/>
      <family val="0"/>
      <charset val="1"/>
    </font>
    <font>
      <i val="true"/>
      <sz val="10"/>
      <color rgb="FF595959"/>
      <name val="Noto Sans CJK SC"/>
      <family val="2"/>
    </font>
    <font>
      <sz val="10"/>
      <color rgb="FF0563C1"/>
      <name val="Microsoft JhengHe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CE9D5"/>
        <bgColor rgb="FFD9EAD3"/>
      </patternFill>
    </fill>
    <fill>
      <patternFill patternType="solid">
        <fgColor rgb="FFFFF2CC"/>
        <bgColor rgb="FFFFF4E0"/>
      </patternFill>
    </fill>
    <fill>
      <patternFill patternType="solid">
        <fgColor rgb="FF2F5233"/>
        <bgColor rgb="FF595959"/>
      </patternFill>
    </fill>
    <fill>
      <patternFill patternType="solid">
        <fgColor rgb="FFEDF3E8"/>
        <bgColor rgb="FFEEEEEE"/>
      </patternFill>
    </fill>
    <fill>
      <patternFill patternType="solid">
        <fgColor rgb="FFE3EEF7"/>
        <bgColor rgb="FFEEEEEE"/>
      </patternFill>
    </fill>
    <fill>
      <patternFill patternType="solid">
        <fgColor rgb="FFFFF4E0"/>
        <bgColor rgb="FFFFF2CC"/>
      </patternFill>
    </fill>
    <fill>
      <patternFill patternType="solid">
        <fgColor rgb="FFFDE9E7"/>
        <bgColor rgb="FFFCE4D6"/>
      </patternFill>
    </fill>
    <fill>
      <patternFill patternType="solid">
        <fgColor rgb="FFEEEEEE"/>
        <bgColor rgb="FFF2F2F2"/>
      </patternFill>
    </fill>
    <fill>
      <patternFill patternType="solid">
        <fgColor rgb="FFF2F2F2"/>
        <bgColor rgb="FFEEEE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2F5233"/>
          <bgColor rgb="FF000000"/>
        </patternFill>
      </fill>
    </dxf>
    <dxf>
      <fill>
        <patternFill patternType="solid">
          <fgColor rgb="FFE3EEF7"/>
          <bgColor rgb="FF000000"/>
        </patternFill>
      </fill>
    </dxf>
    <dxf>
      <fill>
        <patternFill patternType="solid">
          <fgColor rgb="FFEDF3E8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FDE9E7"/>
          <bgColor rgb="FF000000"/>
        </patternFill>
      </fill>
    </dxf>
    <dxf>
      <fill>
        <patternFill patternType="solid">
          <fgColor rgb="FFFFF4E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name val="Microsoft JhengHei"/>
        <charset val="1"/>
        <family val="0"/>
        <color rgb="FF7F7F7F"/>
      </font>
      <fill>
        <patternFill>
          <bgColor rgb="FFD9EAD3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CE4D6"/>
        </patternFill>
      </fill>
    </dxf>
    <dxf>
      <fill>
        <patternFill patternType="solid">
          <fgColor rgb="FFDCE9D5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EEEEEE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3EEF7"/>
      <rgbColor rgb="FF660066"/>
      <rgbColor rgb="FFFF8080"/>
      <rgbColor rgb="FF0563C1"/>
      <rgbColor rgb="FFDCE9D5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DF3E8"/>
      <rgbColor rgb="FFD9EAD3"/>
      <rgbColor rgb="FFFFF4E0"/>
      <rgbColor rgb="FFC6E0B4"/>
      <rgbColor rgb="FFFCE4D6"/>
      <rgbColor rgb="FFFDE9E7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s://book.tndais.gov.tw/Brochure/tech96.htm" TargetMode="External"/><Relationship Id="rId2" Type="http://schemas.openxmlformats.org/officeDocument/2006/relationships/hyperlink" Target="https://gazette.nat.gov.tw/EG_FileManager/eguploadpub/eg027026/ch07/type3/gov62/num67/images/BB.pdf" TargetMode="External"/><Relationship Id="rId3" Type="http://schemas.openxmlformats.org/officeDocument/2006/relationships/hyperlink" Target="https://www.moa.gov.tw/ws.php?id=19487" TargetMode="External"/><Relationship Id="rId4" Type="http://schemas.openxmlformats.org/officeDocument/2006/relationships/hyperlink" Target="https://kmweb.moa.gov.tw/knowledgebase.php?func=1&amp;type=12815&amp;id=423553" TargetMode="External"/><Relationship Id="rId5" Type="http://schemas.openxmlformats.org/officeDocument/2006/relationships/hyperlink" Target="https://www.tcdares.gov.tw/files/tdais/web_structure/13097/A01_1.pdf" TargetMode="External"/><Relationship Id="rId6" Type="http://schemas.openxmlformats.org/officeDocument/2006/relationships/hyperlink" Target="https://book.tndais.gov.tw/Magazine/mag100/100-4.pdf" TargetMode="External"/><Relationship Id="rId7" Type="http://schemas.openxmlformats.org/officeDocument/2006/relationships/hyperlink" Target="https://book.tndais.gov.tw/Magazine/mag35-1.htm" TargetMode="External"/><Relationship Id="rId8" Type="http://schemas.openxmlformats.org/officeDocument/2006/relationships/hyperlink" Target="https://kmweb.moa.gov.tw/redirect_files.php?theme=knowledgebase&amp;id=456949" TargetMode="External"/><Relationship Id="rId9" Type="http://schemas.openxmlformats.org/officeDocument/2006/relationships/hyperlink" Target="https://www.agriharvest.tw/archives/112232/" TargetMode="External"/><Relationship Id="rId10" Type="http://schemas.openxmlformats.org/officeDocument/2006/relationships/hyperlink" Target="https://kmweb.moa.gov.tw/theme_data.php?theme=news&amp;sub_theme=variety&amp;id=55647" TargetMode="External"/><Relationship Id="rId11" Type="http://schemas.openxmlformats.org/officeDocument/2006/relationships/hyperlink" Target="https://www.moa.gov.tw/ws.php?id=2506847" TargetMode="External"/><Relationship Id="rId12" Type="http://schemas.openxmlformats.org/officeDocument/2006/relationships/hyperlink" Target="https://www.aces.edu/blog/topics/crop-production/greenhouse-tomato-production/" TargetMode="External"/><Relationship Id="rId13" Type="http://schemas.openxmlformats.org/officeDocument/2006/relationships/hyperlink" Target="https://nevegetable.org/crops/tomato-greenhouse-and-high-tunnel" TargetMode="External"/><Relationship Id="rId14" Type="http://schemas.openxmlformats.org/officeDocument/2006/relationships/hyperlink" Target="https://www.greenhousegrower.com/production/your-guide-to-high-wire-tomato-growing/" TargetMode="External"/><Relationship Id="rId15" Type="http://schemas.openxmlformats.org/officeDocument/2006/relationships/hyperlink" Target="https://ageoncropconsulting.com/crop-registration-undestanding-the-tomato-crop/" TargetMode="External"/><Relationship Id="rId16" Type="http://schemas.openxmlformats.org/officeDocument/2006/relationships/hyperlink" Target="https://www.ars.usda.gov/ARSUserFiles/20200500/Pubs%202018/Shamshiri2018%20-%20review%20optimum%20microclimate%20greenhouse.pdf" TargetMode="External"/><Relationship Id="rId17" Type="http://schemas.openxmlformats.org/officeDocument/2006/relationships/hyperlink" Target="https://www.vegetables.bayer.com/us/en-us/resources/growing-tips-and-innovation-articles/cultivation-insights/temperature-humidity-and-water-in-protected-culture-tomatoes.html" TargetMode="External"/><Relationship Id="rId18" Type="http://schemas.openxmlformats.org/officeDocument/2006/relationships/hyperlink" Target="https://www.koppert.com/news-information/knowledge-documents/pollination-checklist-tomato/" TargetMode="External"/><Relationship Id="rId19" Type="http://schemas.openxmlformats.org/officeDocument/2006/relationships/hyperlink" Target="https://plant-pest-advisory.rutgers.edu/pest-counts-action-thresholds-in-the-greenhouse/" TargetMode="External"/><Relationship Id="rId20" Type="http://schemas.openxmlformats.org/officeDocument/2006/relationships/hyperlink" Target="https://postharvest.ucdavis.edu/produce-facts-sheets/tomato" TargetMode="External"/><Relationship Id="rId21" Type="http://schemas.openxmlformats.org/officeDocument/2006/relationships/hyperlink" Target="https://www.koppert.com/knowledge/a-step-by-step-guide-to-whitefly-control/" TargetMode="External"/><Relationship Id="rId22" Type="http://schemas.openxmlformats.org/officeDocument/2006/relationships/hyperlink" Target="https://pesticide.aphia.gov.tw/information/Query/Bu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4" t="s">
        <v>3</v>
      </c>
    </row>
    <row r="5" customFormat="false" ht="33.75" hidden="false" customHeight="true" outlineLevel="0" collapsed="false">
      <c r="A5" s="3" t="s">
        <v>4</v>
      </c>
      <c r="B5" s="4" t="s">
        <v>5</v>
      </c>
    </row>
    <row r="6" customFormat="false" ht="33.75" hidden="false" customHeight="true" outlineLevel="0" collapsed="false">
      <c r="A6" s="3" t="s">
        <v>6</v>
      </c>
      <c r="B6" s="4" t="s">
        <v>7</v>
      </c>
    </row>
    <row r="7" customFormat="false" ht="33.75" hidden="false" customHeight="true" outlineLevel="0" collapsed="false">
      <c r="A7" s="3" t="s">
        <v>8</v>
      </c>
      <c r="B7" s="4" t="s">
        <v>9</v>
      </c>
    </row>
    <row r="8" customFormat="false" ht="45" hidden="false" customHeight="true" outlineLevel="0" collapsed="false">
      <c r="A8" s="3" t="s">
        <v>10</v>
      </c>
      <c r="B8" s="4" t="s">
        <v>11</v>
      </c>
    </row>
    <row r="9" customFormat="false" ht="33.75" hidden="false" customHeight="true" outlineLevel="0" collapsed="false">
      <c r="A9" s="3" t="s">
        <v>12</v>
      </c>
      <c r="B9" s="4" t="s">
        <v>13</v>
      </c>
    </row>
    <row r="10" customFormat="false" ht="33.75" hidden="false" customHeight="true" outlineLevel="0" collapsed="false">
      <c r="A10" s="3" t="s">
        <v>14</v>
      </c>
      <c r="B10" s="4" t="s">
        <v>15</v>
      </c>
    </row>
    <row r="11" customFormat="false" ht="45" hidden="false" customHeight="true" outlineLevel="0" collapsed="false">
      <c r="A11" s="3" t="s">
        <v>16</v>
      </c>
      <c r="B11" s="4" t="s">
        <v>17</v>
      </c>
    </row>
    <row r="12" customFormat="false" ht="33.75" hidden="false" customHeight="true" outlineLevel="0" collapsed="false">
      <c r="A12" s="3" t="s">
        <v>18</v>
      </c>
      <c r="B12" s="4" t="s">
        <v>19</v>
      </c>
    </row>
    <row r="13" customFormat="false" ht="33.75" hidden="false" customHeight="true" outlineLevel="0" collapsed="false">
      <c r="A13" s="3" t="s">
        <v>20</v>
      </c>
      <c r="B13" s="4" t="s">
        <v>21</v>
      </c>
    </row>
    <row r="14" customFormat="false" ht="33.75" hidden="false" customHeight="true" outlineLevel="0" collapsed="false">
      <c r="A14" s="3" t="s">
        <v>22</v>
      </c>
      <c r="B14" s="4" t="s">
        <v>23</v>
      </c>
    </row>
    <row r="15" customFormat="false" ht="33.75" hidden="false" customHeight="true" outlineLevel="0" collapsed="false">
      <c r="A15" s="3" t="s">
        <v>24</v>
      </c>
      <c r="B15" s="4" t="s">
        <v>25</v>
      </c>
    </row>
    <row r="17" customFormat="false" ht="15" hidden="false" customHeight="false" outlineLevel="0" collapsed="false">
      <c r="A17" s="5" t="s">
        <v>26</v>
      </c>
      <c r="B17" s="6" t="s">
        <v>27</v>
      </c>
    </row>
    <row r="18" customFormat="false" ht="15" hidden="false" customHeight="false" outlineLevel="0" collapsed="false">
      <c r="A18" s="5" t="s">
        <v>28</v>
      </c>
      <c r="B18" s="4" t="str">
        <f aca="false">"自動計算結果"</f>
        <v>自動計算結果</v>
      </c>
    </row>
  </sheetData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9.7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3" customFormat="false" ht="30" hidden="false" customHeight="true" outlineLevel="0" collapsed="false">
      <c r="A3" s="7" t="s">
        <v>31</v>
      </c>
      <c r="B3" s="7" t="s">
        <v>32</v>
      </c>
      <c r="C3" s="7" t="s">
        <v>33</v>
      </c>
      <c r="D3" s="7" t="s">
        <v>34</v>
      </c>
    </row>
    <row r="4" customFormat="false" ht="15" hidden="false" customHeight="false" outlineLevel="0" collapsed="false">
      <c r="A4" s="5" t="s">
        <v>35</v>
      </c>
      <c r="B4" s="8" t="n">
        <v>46310</v>
      </c>
      <c r="C4" s="4" t="s">
        <v>36</v>
      </c>
      <c r="D4" s="4" t="s">
        <v>37</v>
      </c>
    </row>
    <row r="5" customFormat="false" ht="15" hidden="false" customHeight="false" outlineLevel="0" collapsed="false">
      <c r="A5" s="5" t="s">
        <v>38</v>
      </c>
      <c r="B5" s="9" t="n">
        <v>1000</v>
      </c>
      <c r="C5" s="10" t="s">
        <v>39</v>
      </c>
      <c r="D5" s="10" t="s">
        <v>40</v>
      </c>
    </row>
    <row r="6" customFormat="false" ht="15" hidden="false" customHeight="false" outlineLevel="0" collapsed="false">
      <c r="A6" s="5" t="s">
        <v>41</v>
      </c>
      <c r="B6" s="11" t="n">
        <v>1.5</v>
      </c>
      <c r="C6" s="10" t="s">
        <v>42</v>
      </c>
      <c r="D6" s="4" t="s">
        <v>43</v>
      </c>
    </row>
    <row r="7" customFormat="false" ht="15" hidden="false" customHeight="false" outlineLevel="0" collapsed="false">
      <c r="A7" s="5" t="s">
        <v>44</v>
      </c>
      <c r="B7" s="12" t="n">
        <v>1</v>
      </c>
      <c r="C7" s="4" t="s">
        <v>45</v>
      </c>
      <c r="D7" s="4" t="s">
        <v>46</v>
      </c>
    </row>
    <row r="8" customFormat="false" ht="15" hidden="false" customHeight="false" outlineLevel="0" collapsed="false">
      <c r="A8" s="5" t="s">
        <v>47</v>
      </c>
      <c r="B8" s="11" t="n">
        <v>0.6</v>
      </c>
      <c r="C8" s="10" t="s">
        <v>42</v>
      </c>
      <c r="D8" s="4" t="s">
        <v>48</v>
      </c>
    </row>
    <row r="9" customFormat="false" ht="15" hidden="false" customHeight="false" outlineLevel="0" collapsed="false">
      <c r="A9" s="5" t="s">
        <v>49</v>
      </c>
      <c r="B9" s="12" t="n">
        <v>2</v>
      </c>
      <c r="C9" s="4" t="s">
        <v>50</v>
      </c>
      <c r="D9" s="4" t="s">
        <v>51</v>
      </c>
    </row>
    <row r="10" customFormat="false" ht="15" hidden="false" customHeight="false" outlineLevel="0" collapsed="false">
      <c r="A10" s="5" t="s">
        <v>52</v>
      </c>
      <c r="B10" s="13" t="n">
        <v>0.1</v>
      </c>
      <c r="C10" s="10" t="s">
        <v>53</v>
      </c>
      <c r="D10" s="4" t="s">
        <v>54</v>
      </c>
    </row>
    <row r="11" customFormat="false" ht="15" hidden="false" customHeight="false" outlineLevel="0" collapsed="false">
      <c r="A11" s="5" t="s">
        <v>55</v>
      </c>
      <c r="B11" s="12" t="n">
        <v>5</v>
      </c>
      <c r="C11" s="4" t="s">
        <v>56</v>
      </c>
      <c r="D11" s="4" t="s">
        <v>57</v>
      </c>
    </row>
    <row r="12" customFormat="false" ht="15" hidden="false" customHeight="false" outlineLevel="0" collapsed="false">
      <c r="A12" s="5" t="s">
        <v>58</v>
      </c>
      <c r="B12" s="12" t="n">
        <v>128</v>
      </c>
      <c r="C12" s="4" t="s">
        <v>59</v>
      </c>
      <c r="D12" s="4" t="s">
        <v>60</v>
      </c>
    </row>
    <row r="13" customFormat="false" ht="15" hidden="false" customHeight="false" outlineLevel="0" collapsed="false">
      <c r="A13" s="5" t="s">
        <v>61</v>
      </c>
      <c r="B13" s="12" t="n">
        <v>2</v>
      </c>
      <c r="C13" s="4" t="s">
        <v>56</v>
      </c>
      <c r="D13" s="4" t="s">
        <v>62</v>
      </c>
    </row>
    <row r="14" customFormat="false" ht="15" hidden="false" customHeight="false" outlineLevel="0" collapsed="false">
      <c r="A14" s="5" t="s">
        <v>63</v>
      </c>
      <c r="B14" s="12" t="n">
        <v>3</v>
      </c>
      <c r="C14" s="4" t="s">
        <v>64</v>
      </c>
      <c r="D14" s="4" t="s">
        <v>65</v>
      </c>
    </row>
    <row r="15" customFormat="false" ht="15" hidden="false" customHeight="false" outlineLevel="0" collapsed="false">
      <c r="A15" s="5" t="s">
        <v>66</v>
      </c>
      <c r="B15" s="12" t="n">
        <v>4</v>
      </c>
      <c r="C15" s="4" t="s">
        <v>64</v>
      </c>
      <c r="D15" s="4" t="s">
        <v>67</v>
      </c>
    </row>
    <row r="16" customFormat="false" ht="15" hidden="false" customHeight="false" outlineLevel="0" collapsed="false">
      <c r="A16" s="5" t="s">
        <v>68</v>
      </c>
      <c r="B16" s="12" t="n">
        <v>3</v>
      </c>
      <c r="C16" s="4" t="s">
        <v>56</v>
      </c>
      <c r="D16" s="4" t="s">
        <v>69</v>
      </c>
    </row>
    <row r="17" customFormat="false" ht="15" hidden="false" customHeight="false" outlineLevel="0" collapsed="false">
      <c r="A17" s="5" t="s">
        <v>70</v>
      </c>
      <c r="B17" s="12" t="n">
        <v>7</v>
      </c>
      <c r="C17" s="4" t="s">
        <v>71</v>
      </c>
      <c r="D17" s="4" t="s">
        <v>72</v>
      </c>
    </row>
    <row r="18" customFormat="false" ht="15" hidden="false" customHeight="false" outlineLevel="0" collapsed="false">
      <c r="A18" s="5" t="s">
        <v>73</v>
      </c>
      <c r="B18" s="12" t="n">
        <v>11</v>
      </c>
      <c r="C18" s="4" t="s">
        <v>64</v>
      </c>
      <c r="D18" s="4" t="s">
        <v>74</v>
      </c>
    </row>
    <row r="19" customFormat="false" ht="15" hidden="false" customHeight="false" outlineLevel="0" collapsed="false">
      <c r="A19" s="5" t="s">
        <v>75</v>
      </c>
      <c r="B19" s="12" t="n">
        <v>30</v>
      </c>
      <c r="C19" s="4" t="s">
        <v>64</v>
      </c>
      <c r="D19" s="4" t="s">
        <v>76</v>
      </c>
    </row>
    <row r="20" customFormat="false" ht="15" hidden="false" customHeight="false" outlineLevel="0" collapsed="false">
      <c r="A20" s="5" t="s">
        <v>77</v>
      </c>
      <c r="B20" s="12" t="n">
        <v>225</v>
      </c>
      <c r="C20" s="10" t="s">
        <v>78</v>
      </c>
      <c r="D20" s="10" t="s">
        <v>79</v>
      </c>
    </row>
    <row r="21" customFormat="false" ht="15" hidden="false" customHeight="false" outlineLevel="0" collapsed="false">
      <c r="A21" s="5" t="s">
        <v>80</v>
      </c>
      <c r="B21" s="12" t="n">
        <v>175</v>
      </c>
      <c r="C21" s="10" t="s">
        <v>78</v>
      </c>
      <c r="D21" s="10" t="s">
        <v>81</v>
      </c>
    </row>
    <row r="22" customFormat="false" ht="15" hidden="false" customHeight="false" outlineLevel="0" collapsed="false">
      <c r="A22" s="5" t="s">
        <v>82</v>
      </c>
      <c r="B22" s="12" t="n">
        <v>150</v>
      </c>
      <c r="C22" s="10" t="s">
        <v>78</v>
      </c>
      <c r="D22" s="10" t="s">
        <v>83</v>
      </c>
    </row>
    <row r="23" customFormat="false" ht="15" hidden="false" customHeight="false" outlineLevel="0" collapsed="false">
      <c r="A23" s="5" t="s">
        <v>84</v>
      </c>
      <c r="B23" s="13" t="n">
        <v>0.18</v>
      </c>
      <c r="C23" s="10" t="s">
        <v>53</v>
      </c>
      <c r="D23" s="4" t="s">
        <v>85</v>
      </c>
    </row>
    <row r="24" customFormat="false" ht="15" hidden="false" customHeight="false" outlineLevel="0" collapsed="false">
      <c r="A24" s="5" t="s">
        <v>86</v>
      </c>
      <c r="B24" s="13" t="n">
        <v>0.18</v>
      </c>
      <c r="C24" s="10" t="s">
        <v>53</v>
      </c>
      <c r="D24" s="4" t="s">
        <v>87</v>
      </c>
    </row>
    <row r="25" customFormat="false" ht="15" hidden="false" customHeight="false" outlineLevel="0" collapsed="false">
      <c r="A25" s="5" t="s">
        <v>88</v>
      </c>
      <c r="B25" s="12" t="n">
        <v>350</v>
      </c>
      <c r="C25" s="10" t="s">
        <v>89</v>
      </c>
      <c r="D25" s="4" t="s">
        <v>90</v>
      </c>
    </row>
    <row r="26" customFormat="false" ht="15" hidden="false" customHeight="false" outlineLevel="0" collapsed="false">
      <c r="A26" s="5" t="s">
        <v>91</v>
      </c>
      <c r="B26" s="14" t="n">
        <v>1</v>
      </c>
      <c r="C26" s="10" t="s">
        <v>89</v>
      </c>
      <c r="D26" s="4" t="s">
        <v>92</v>
      </c>
    </row>
    <row r="27" customFormat="false" ht="15" hidden="false" customHeight="false" outlineLevel="0" collapsed="false">
      <c r="A27" s="5" t="s">
        <v>93</v>
      </c>
      <c r="B27" s="14" t="n">
        <v>18</v>
      </c>
      <c r="C27" s="10" t="s">
        <v>53</v>
      </c>
      <c r="D27" s="4" t="s">
        <v>94</v>
      </c>
    </row>
    <row r="28" customFormat="false" ht="15" hidden="false" customHeight="false" outlineLevel="0" collapsed="false">
      <c r="A28" s="5" t="s">
        <v>95</v>
      </c>
      <c r="B28" s="14" t="n">
        <v>13</v>
      </c>
      <c r="C28" s="10" t="s">
        <v>53</v>
      </c>
      <c r="D28" s="4" t="s">
        <v>96</v>
      </c>
    </row>
    <row r="29" customFormat="false" ht="15" hidden="false" customHeight="false" outlineLevel="0" collapsed="false">
      <c r="A29" s="5" t="s">
        <v>97</v>
      </c>
      <c r="B29" s="14" t="n">
        <v>46</v>
      </c>
      <c r="C29" s="10" t="s">
        <v>53</v>
      </c>
      <c r="D29" s="4" t="s">
        <v>98</v>
      </c>
    </row>
    <row r="30" customFormat="false" ht="15" hidden="false" customHeight="false" outlineLevel="0" collapsed="false">
      <c r="A30" s="5" t="s">
        <v>99</v>
      </c>
      <c r="B30" s="14" t="n">
        <v>15.5</v>
      </c>
      <c r="C30" s="10" t="s">
        <v>53</v>
      </c>
      <c r="D30" s="4" t="s">
        <v>100</v>
      </c>
    </row>
    <row r="31" customFormat="false" ht="15" hidden="false" customHeight="false" outlineLevel="0" collapsed="false">
      <c r="A31" s="5" t="s">
        <v>101</v>
      </c>
      <c r="B31" s="12" t="n">
        <v>93</v>
      </c>
      <c r="C31" s="10" t="s">
        <v>39</v>
      </c>
      <c r="D31" s="4" t="s">
        <v>102</v>
      </c>
    </row>
    <row r="33" customFormat="false" ht="15" hidden="false" customHeight="false" outlineLevel="0" collapsed="false">
      <c r="A33" s="3" t="s">
        <v>103</v>
      </c>
      <c r="B33" s="15"/>
      <c r="C33" s="15"/>
      <c r="D33" s="15"/>
    </row>
    <row r="34" customFormat="false" ht="15" hidden="false" customHeight="false" outlineLevel="0" collapsed="false">
      <c r="A34" s="5" t="s">
        <v>104</v>
      </c>
      <c r="B34" s="16" t="n">
        <f aca="false">ROUNDDOWN(B5/B6*B7/B8,0)</f>
        <v>1111</v>
      </c>
      <c r="C34" s="4" t="s">
        <v>105</v>
      </c>
      <c r="D34" s="4" t="s">
        <v>106</v>
      </c>
    </row>
    <row r="35" customFormat="false" ht="15" hidden="false" customHeight="false" outlineLevel="0" collapsed="false">
      <c r="A35" s="5" t="s">
        <v>107</v>
      </c>
      <c r="B35" s="16" t="n">
        <f aca="false">B34*B9</f>
        <v>2222</v>
      </c>
      <c r="C35" s="4" t="s">
        <v>108</v>
      </c>
      <c r="D35" s="4"/>
    </row>
    <row r="36" customFormat="false" ht="15" hidden="false" customHeight="false" outlineLevel="0" collapsed="false">
      <c r="A36" s="5" t="s">
        <v>109</v>
      </c>
      <c r="B36" s="17" t="n">
        <f aca="false">B5/B35</f>
        <v>0.45004500450045</v>
      </c>
      <c r="C36" s="10" t="s">
        <v>110</v>
      </c>
      <c r="D36" s="4" t="str">
        <f aca="false">IF(AND(B36&gt;=0.33,B36&lt;=0.56),"✔ 在國外建議3.5–6 ft²(0.33–0.56 m²)/幹範圍內(S13)","⚠ 超出0.33–0.56 m²/幹參考範圍,密度過高易病害、過低減產(S13)")</f>
        <v>✔ 在國外建議3.5–6 ft²(0.33–0.56 m²)/幹範圍內(S13)</v>
      </c>
    </row>
    <row r="37" customFormat="false" ht="15" hidden="false" customHeight="false" outlineLevel="0" collapsed="false">
      <c r="A37" s="5" t="s">
        <v>111</v>
      </c>
      <c r="B37" s="16" t="n">
        <f aca="false">ROUNDUP(B34*(1+B10),0)</f>
        <v>1223</v>
      </c>
      <c r="C37" s="4" t="s">
        <v>105</v>
      </c>
      <c r="D37" s="4" t="s">
        <v>112</v>
      </c>
    </row>
    <row r="38" customFormat="false" ht="15" hidden="false" customHeight="false" outlineLevel="0" collapsed="false">
      <c r="A38" s="5" t="s">
        <v>113</v>
      </c>
      <c r="B38" s="18" t="n">
        <f aca="false">B4-MAX(B13,2)*7</f>
        <v>46296</v>
      </c>
      <c r="C38" s="4" t="s">
        <v>36</v>
      </c>
      <c r="D38" s="4" t="str">
        <f aca="true">IF(B38&lt;TODAY(),"⚠ 最晚訂苗日已過,請立即聯絡育苗場或延後定植日","距最晚訂苗日還有"&amp;(B38-TODAY())&amp;"天")</f>
        <v>距最晚訂苗日還有15天</v>
      </c>
    </row>
    <row r="39" customFormat="false" ht="15" hidden="false" customHeight="false" outlineLevel="0" collapsed="false">
      <c r="A39" s="5" t="s">
        <v>114</v>
      </c>
      <c r="B39" s="19" t="n">
        <f aca="false">ROUNDUP(B37/B12,0)</f>
        <v>10</v>
      </c>
      <c r="C39" s="4" t="s">
        <v>115</v>
      </c>
      <c r="D39" s="4"/>
    </row>
    <row r="40" customFormat="false" ht="15" hidden="false" customHeight="false" outlineLevel="0" collapsed="false">
      <c r="A40" s="5" t="s">
        <v>116</v>
      </c>
      <c r="B40" s="18" t="n">
        <f aca="false">B4-B11*7</f>
        <v>46275</v>
      </c>
      <c r="C40" s="4" t="s">
        <v>36</v>
      </c>
      <c r="D40" s="4" t="str">
        <f aca="true">IF(B40&lt;TODAY(),"此日已過:下訂時請確認育苗場有該品種現成苗(嫁接苗通常需更長時間)","")</f>
        <v>此日已過:下訂時請確認育苗場有該品種現成苗(嫁接苗通常需更長時間)</v>
      </c>
    </row>
    <row r="41" customFormat="false" ht="15" hidden="false" customHeight="false" outlineLevel="0" collapsed="false">
      <c r="A41" s="5" t="s">
        <v>117</v>
      </c>
      <c r="B41" s="18" t="n">
        <f aca="false">B4</f>
        <v>46310</v>
      </c>
      <c r="C41" s="4" t="s">
        <v>36</v>
      </c>
      <c r="D41" s="4" t="s">
        <v>118</v>
      </c>
    </row>
    <row r="42" customFormat="false" ht="15" hidden="false" customHeight="false" outlineLevel="0" collapsed="false">
      <c r="A42" s="5" t="s">
        <v>119</v>
      </c>
      <c r="B42" s="18" t="n">
        <f aca="false">B4+B18*7</f>
        <v>46387</v>
      </c>
      <c r="C42" s="4" t="s">
        <v>36</v>
      </c>
      <c r="D42" s="4"/>
    </row>
    <row r="43" customFormat="false" ht="15" hidden="false" customHeight="false" outlineLevel="0" collapsed="false">
      <c r="A43" s="5" t="s">
        <v>120</v>
      </c>
      <c r="B43" s="18" t="n">
        <f aca="false">B4+(B19-6)*7</f>
        <v>46478</v>
      </c>
      <c r="C43" s="4" t="s">
        <v>36</v>
      </c>
      <c r="D43" s="4" t="s">
        <v>121</v>
      </c>
    </row>
    <row r="44" customFormat="false" ht="15" hidden="false" customHeight="false" outlineLevel="0" collapsed="false">
      <c r="A44" s="5" t="s">
        <v>122</v>
      </c>
      <c r="B44" s="18" t="n">
        <f aca="false">B4+B19*7</f>
        <v>46520</v>
      </c>
      <c r="C44" s="4" t="s">
        <v>36</v>
      </c>
      <c r="D44" s="4"/>
    </row>
    <row r="45" customFormat="false" ht="15" hidden="false" customHeight="false" outlineLevel="0" collapsed="false">
      <c r="A45" s="5" t="s">
        <v>123</v>
      </c>
      <c r="B45" s="19" t="n">
        <f aca="false">ROUNDUP(B5/B31,0)</f>
        <v>11</v>
      </c>
      <c r="C45" s="4" t="s">
        <v>124</v>
      </c>
      <c r="D45" s="4" t="s">
        <v>125</v>
      </c>
    </row>
    <row r="46" customFormat="false" ht="15" hidden="false" customHeight="false" outlineLevel="0" collapsed="false">
      <c r="A46" s="5" t="s">
        <v>126</v>
      </c>
      <c r="B46" s="19" t="n">
        <f aca="false">ROUNDUP(B5/1000*1,0)</f>
        <v>1</v>
      </c>
      <c r="C46" s="4" t="s">
        <v>127</v>
      </c>
      <c r="D46" s="4" t="s">
        <v>128</v>
      </c>
    </row>
    <row r="47" customFormat="false" ht="15" hidden="false" customHeight="false" outlineLevel="0" collapsed="false">
      <c r="A47" s="5" t="s">
        <v>129</v>
      </c>
      <c r="B47" s="19" t="n">
        <f aca="false">ROUNDUP(B5/1000*2,0)</f>
        <v>2</v>
      </c>
      <c r="C47" s="4" t="s">
        <v>127</v>
      </c>
      <c r="D47" s="4"/>
    </row>
    <row r="49" customFormat="false" ht="15" hidden="false" customHeight="false" outlineLevel="0" collapsed="false">
      <c r="A49" s="3" t="s">
        <v>130</v>
      </c>
      <c r="B49" s="15"/>
      <c r="C49" s="15"/>
      <c r="D49" s="15"/>
    </row>
    <row r="50" customFormat="false" ht="15" hidden="false" customHeight="false" outlineLevel="0" collapsed="false">
      <c r="A50" s="7" t="s">
        <v>31</v>
      </c>
      <c r="B50" s="20" t="s">
        <v>131</v>
      </c>
      <c r="C50" s="20" t="s">
        <v>132</v>
      </c>
      <c r="D50" s="20" t="s">
        <v>133</v>
      </c>
    </row>
    <row r="51" customFormat="false" ht="15" hidden="false" customHeight="false" outlineLevel="0" collapsed="false">
      <c r="A51" s="5" t="s">
        <v>134</v>
      </c>
      <c r="B51" s="17" t="n">
        <f aca="false">B20*$B$5/10000</f>
        <v>22.5</v>
      </c>
      <c r="C51" s="17" t="n">
        <f aca="false">B21*$B$5/10000</f>
        <v>17.5</v>
      </c>
      <c r="D51" s="17" t="n">
        <f aca="false">B22*$B$5/10000</f>
        <v>15</v>
      </c>
    </row>
    <row r="52" customFormat="false" ht="15" hidden="false" customHeight="false" outlineLevel="0" collapsed="false">
      <c r="A52" s="5" t="s">
        <v>135</v>
      </c>
      <c r="B52" s="17" t="n">
        <f aca="false">B51*B23</f>
        <v>4.05</v>
      </c>
      <c r="C52" s="17" t="n">
        <f aca="false">C51</f>
        <v>17.5</v>
      </c>
      <c r="D52" s="17" t="n">
        <f aca="false">D51*B24</f>
        <v>2.7</v>
      </c>
    </row>
    <row r="53" customFormat="false" ht="15" hidden="false" customHeight="false" outlineLevel="0" collapsed="false">
      <c r="A53" s="5" t="s">
        <v>136</v>
      </c>
      <c r="B53" s="17" t="n">
        <f aca="false">B51*(1-B23)/B17</f>
        <v>2.63571428571429</v>
      </c>
      <c r="C53" s="17" t="n">
        <v>0</v>
      </c>
      <c r="D53" s="17" t="n">
        <f aca="false">D51*(1-B24)/B17</f>
        <v>1.75714285714286</v>
      </c>
    </row>
    <row r="54" customFormat="false" ht="15" hidden="false" customHeight="false" outlineLevel="0" collapsed="false">
      <c r="A54" s="5" t="s">
        <v>137</v>
      </c>
      <c r="B54" s="21" t="n">
        <f aca="false">(1-B23)/B17</f>
        <v>0.117142857142857</v>
      </c>
      <c r="C54" s="21"/>
      <c r="D54" s="21" t="n">
        <f aca="false">(1-B24)/B17</f>
        <v>0.117142857142857</v>
      </c>
    </row>
    <row r="55" customFormat="false" ht="15" hidden="false" customHeight="false" outlineLevel="0" collapsed="false">
      <c r="A55" s="5" t="s">
        <v>138</v>
      </c>
      <c r="B55" s="4" t="str">
        <f aca="false">IF(AND(B54&gt;=0.1,B54&lt;=0.15,D54&gt;=0.1,D54&lt;=0.15),"✔ 每次追肥N、K各佔10–15%,符合TGAP(S2)","⚠ 每次追肥比例不在10–15%,請調整追肥次數或基肥比例")</f>
        <v>✔ 每次追肥N、K各佔10–15%,符合TGAP(S2)</v>
      </c>
      <c r="C55" s="4"/>
      <c r="D55" s="4"/>
    </row>
    <row r="57" customFormat="false" ht="15" hidden="false" customHeight="false" outlineLevel="0" collapsed="false">
      <c r="A57" s="3" t="s">
        <v>139</v>
      </c>
      <c r="B57" s="15"/>
      <c r="C57" s="15"/>
      <c r="D57" s="15"/>
    </row>
    <row r="58" customFormat="false" ht="33.75" hidden="false" customHeight="true" outlineLevel="0" collapsed="false">
      <c r="A58" s="7" t="s">
        <v>140</v>
      </c>
      <c r="B58" s="7" t="s">
        <v>141</v>
      </c>
      <c r="C58" s="7" t="s">
        <v>142</v>
      </c>
      <c r="D58" s="7" t="s">
        <v>143</v>
      </c>
    </row>
    <row r="59" customFormat="false" ht="15" hidden="false" customHeight="false" outlineLevel="0" collapsed="false">
      <c r="A59" s="5" t="s">
        <v>144</v>
      </c>
      <c r="B59" s="22" t="n">
        <f aca="false">C52/(B27/100)</f>
        <v>97.2222222222222</v>
      </c>
      <c r="C59" s="22" t="n">
        <v>0</v>
      </c>
      <c r="D59" s="4" t="s">
        <v>145</v>
      </c>
    </row>
    <row r="60" customFormat="false" ht="15" hidden="false" customHeight="false" outlineLevel="0" collapsed="false">
      <c r="A60" s="5" t="s">
        <v>146</v>
      </c>
      <c r="B60" s="22" t="n">
        <f aca="false">D52/(B29/100)</f>
        <v>5.8695652173913</v>
      </c>
      <c r="C60" s="22" t="n">
        <f aca="false">D53/(B29/100)</f>
        <v>3.81987577639752</v>
      </c>
      <c r="D60" s="4" t="s">
        <v>147</v>
      </c>
    </row>
    <row r="61" customFormat="false" ht="15" hidden="false" customHeight="false" outlineLevel="0" collapsed="false">
      <c r="A61" s="5" t="s">
        <v>148</v>
      </c>
      <c r="B61" s="22" t="n">
        <f aca="false">MAX(0,B52-B60*B28/100)/(B30/100)</f>
        <v>21.2061711079944</v>
      </c>
      <c r="C61" s="22" t="n">
        <f aca="false">MAX(0,B53-C60*B28/100)/(B30/100)</f>
        <v>13.8008415147265</v>
      </c>
      <c r="D61" s="4" t="s">
        <v>149</v>
      </c>
    </row>
    <row r="62" customFormat="false" ht="15" hidden="false" customHeight="false" outlineLevel="0" collapsed="false">
      <c r="A62" s="5" t="s">
        <v>150</v>
      </c>
      <c r="B62" s="22" t="n">
        <f aca="false">B25*B5/1000</f>
        <v>350</v>
      </c>
      <c r="C62" s="22"/>
      <c r="D62" s="10" t="s">
        <v>151</v>
      </c>
    </row>
    <row r="63" customFormat="false" ht="15" hidden="false" customHeight="false" outlineLevel="0" collapsed="false">
      <c r="A63" s="5" t="s">
        <v>152</v>
      </c>
      <c r="B63" s="22" t="n">
        <f aca="false">B26*B5/1000</f>
        <v>1</v>
      </c>
      <c r="C63" s="22"/>
      <c r="D63" s="10" t="s">
        <v>151</v>
      </c>
    </row>
    <row r="65" customFormat="false" ht="15" hidden="false" customHeight="false" outlineLevel="0" collapsed="false">
      <c r="A65" s="3" t="s">
        <v>153</v>
      </c>
      <c r="B65" s="15"/>
      <c r="C65" s="15"/>
      <c r="D65" s="15"/>
    </row>
    <row r="66" customFormat="false" ht="15" hidden="false" customHeight="false" outlineLevel="0" collapsed="false">
      <c r="A66" s="7" t="s">
        <v>154</v>
      </c>
      <c r="B66" s="7" t="s">
        <v>155</v>
      </c>
      <c r="C66" s="7" t="s">
        <v>156</v>
      </c>
      <c r="D66" s="7" t="s">
        <v>138</v>
      </c>
    </row>
    <row r="67" customFormat="false" ht="15" hidden="false" customHeight="false" outlineLevel="0" collapsed="false">
      <c r="A67" s="23" t="str">
        <f aca="false">IF(1&lt;=$B$17,"第1次","")</f>
        <v>第1次</v>
      </c>
      <c r="B67" s="24" t="n">
        <f aca="false">IF(1&lt;=$B$17,$B$15+(1-1)*$B$16,"")</f>
        <v>4</v>
      </c>
      <c r="C67" s="25" t="n">
        <f aca="false">IF(1&lt;=$B$17,$B$4+B67*7,"")</f>
        <v>46338</v>
      </c>
      <c r="D67" s="4" t="str">
        <f aca="false">IF(1&lt;=$B$17,IF(B67&gt;$B$19-6,"⚠ 已接近摘心/作期末,可考慮省略",""),"")</f>
        <v/>
      </c>
    </row>
    <row r="68" customFormat="false" ht="15" hidden="false" customHeight="false" outlineLevel="0" collapsed="false">
      <c r="A68" s="23" t="str">
        <f aca="false">IF(2&lt;=$B$17,"第2次","")</f>
        <v>第2次</v>
      </c>
      <c r="B68" s="24" t="n">
        <f aca="false">IF(2&lt;=$B$17,$B$15+(2-1)*$B$16,"")</f>
        <v>7</v>
      </c>
      <c r="C68" s="25" t="n">
        <f aca="false">IF(2&lt;=$B$17,$B$4+B68*7,"")</f>
        <v>46359</v>
      </c>
      <c r="D68" s="4" t="str">
        <f aca="false">IF(2&lt;=$B$17,IF(B68&gt;$B$19-6,"⚠ 已接近摘心/作期末,可考慮省略",""),"")</f>
        <v/>
      </c>
    </row>
    <row r="69" customFormat="false" ht="15" hidden="false" customHeight="false" outlineLevel="0" collapsed="false">
      <c r="A69" s="23" t="str">
        <f aca="false">IF(3&lt;=$B$17,"第3次","")</f>
        <v>第3次</v>
      </c>
      <c r="B69" s="24" t="n">
        <f aca="false">IF(3&lt;=$B$17,$B$15+(3-1)*$B$16,"")</f>
        <v>10</v>
      </c>
      <c r="C69" s="25" t="n">
        <f aca="false">IF(3&lt;=$B$17,$B$4+B69*7,"")</f>
        <v>46380</v>
      </c>
      <c r="D69" s="4" t="str">
        <f aca="false">IF(3&lt;=$B$17,IF(B69&gt;$B$19-6,"⚠ 已接近摘心/作期末,可考慮省略",""),"")</f>
        <v/>
      </c>
    </row>
    <row r="70" customFormat="false" ht="15" hidden="false" customHeight="false" outlineLevel="0" collapsed="false">
      <c r="A70" s="23" t="str">
        <f aca="false">IF(4&lt;=$B$17,"第4次","")</f>
        <v>第4次</v>
      </c>
      <c r="B70" s="24" t="n">
        <f aca="false">IF(4&lt;=$B$17,$B$15+(4-1)*$B$16,"")</f>
        <v>13</v>
      </c>
      <c r="C70" s="25" t="n">
        <f aca="false">IF(4&lt;=$B$17,$B$4+B70*7,"")</f>
        <v>46401</v>
      </c>
      <c r="D70" s="4" t="str">
        <f aca="false">IF(4&lt;=$B$17,IF(B70&gt;$B$19-6,"⚠ 已接近摘心/作期末,可考慮省略",""),"")</f>
        <v/>
      </c>
    </row>
    <row r="71" customFormat="false" ht="15" hidden="false" customHeight="false" outlineLevel="0" collapsed="false">
      <c r="A71" s="23" t="str">
        <f aca="false">IF(5&lt;=$B$17,"第5次","")</f>
        <v>第5次</v>
      </c>
      <c r="B71" s="24" t="n">
        <f aca="false">IF(5&lt;=$B$17,$B$15+(5-1)*$B$16,"")</f>
        <v>16</v>
      </c>
      <c r="C71" s="25" t="n">
        <f aca="false">IF(5&lt;=$B$17,$B$4+B71*7,"")</f>
        <v>46422</v>
      </c>
      <c r="D71" s="4" t="str">
        <f aca="false">IF(5&lt;=$B$17,IF(B71&gt;$B$19-6,"⚠ 已接近摘心/作期末,可考慮省略",""),"")</f>
        <v/>
      </c>
    </row>
    <row r="72" customFormat="false" ht="15" hidden="false" customHeight="false" outlineLevel="0" collapsed="false">
      <c r="A72" s="23" t="str">
        <f aca="false">IF(6&lt;=$B$17,"第6次","")</f>
        <v>第6次</v>
      </c>
      <c r="B72" s="24" t="n">
        <f aca="false">IF(6&lt;=$B$17,$B$15+(6-1)*$B$16,"")</f>
        <v>19</v>
      </c>
      <c r="C72" s="25" t="n">
        <f aca="false">IF(6&lt;=$B$17,$B$4+B72*7,"")</f>
        <v>46443</v>
      </c>
      <c r="D72" s="4" t="str">
        <f aca="false">IF(6&lt;=$B$17,IF(B72&gt;$B$19-6,"⚠ 已接近摘心/作期末,可考慮省略",""),"")</f>
        <v/>
      </c>
    </row>
    <row r="73" customFormat="false" ht="15" hidden="false" customHeight="false" outlineLevel="0" collapsed="false">
      <c r="A73" s="23" t="str">
        <f aca="false">IF(7&lt;=$B$17,"第7次","")</f>
        <v>第7次</v>
      </c>
      <c r="B73" s="24" t="n">
        <f aca="false">IF(7&lt;=$B$17,$B$15+(7-1)*$B$16,"")</f>
        <v>22</v>
      </c>
      <c r="C73" s="25" t="n">
        <f aca="false">IF(7&lt;=$B$17,$B$4+B73*7,"")</f>
        <v>46464</v>
      </c>
      <c r="D73" s="4" t="str">
        <f aca="false">IF(7&lt;=$B$17,IF(B73&gt;$B$19-6,"⚠ 已接近摘心/作期末,可考慮省略",""),"")</f>
        <v/>
      </c>
    </row>
    <row r="74" customFormat="false" ht="15" hidden="false" customHeight="false" outlineLevel="0" collapsed="false">
      <c r="A74" s="23" t="str">
        <f aca="false">IF(8&lt;=$B$17,"第8次","")</f>
        <v/>
      </c>
      <c r="B74" s="24" t="str">
        <f aca="false">IF(8&lt;=$B$17,$B$15+(8-1)*$B$16,"")</f>
        <v/>
      </c>
      <c r="C74" s="25" t="str">
        <f aca="false">IF(8&lt;=$B$17,$B$4+B74*7,"")</f>
        <v/>
      </c>
      <c r="D74" s="4" t="str">
        <f aca="false">IF(8&lt;=$B$17,IF(B74&gt;$B$19-6,"⚠ 已接近摘心/作期末,可考慮省略",""),"")</f>
        <v/>
      </c>
    </row>
    <row r="75" customFormat="false" ht="15" hidden="false" customHeight="false" outlineLevel="0" collapsed="false">
      <c r="A75" s="23" t="str">
        <f aca="false">IF(9&lt;=$B$17,"第9次","")</f>
        <v/>
      </c>
      <c r="B75" s="24" t="str">
        <f aca="false">IF(9&lt;=$B$17,$B$15+(9-1)*$B$16,"")</f>
        <v/>
      </c>
      <c r="C75" s="25" t="str">
        <f aca="false">IF(9&lt;=$B$17,$B$4+B75*7,"")</f>
        <v/>
      </c>
      <c r="D75" s="4" t="str">
        <f aca="false">IF(9&lt;=$B$17,IF(B75&gt;$B$19-6,"⚠ 已接近摘心/作期末,可考慮省略",""),"")</f>
        <v/>
      </c>
    </row>
    <row r="76" customFormat="false" ht="15" hidden="false" customHeight="false" outlineLevel="0" collapsed="false">
      <c r="A76" s="23" t="str">
        <f aca="false">IF(10&lt;=$B$17,"第10次","")</f>
        <v/>
      </c>
      <c r="B76" s="24" t="str">
        <f aca="false">IF(10&lt;=$B$17,$B$15+(10-1)*$B$16,"")</f>
        <v/>
      </c>
      <c r="C76" s="25" t="str">
        <f aca="false">IF(10&lt;=$B$17,$B$4+B76*7,"")</f>
        <v/>
      </c>
      <c r="D76" s="4" t="str">
        <f aca="false">IF(10&lt;=$B$17,IF(B76&gt;$B$19-6,"⚠ 已接近摘心/作期末,可考慮省略",""),"")</f>
        <v/>
      </c>
    </row>
    <row r="77" customFormat="false" ht="33.75" hidden="false" customHeight="true" outlineLevel="0" collapsed="false">
      <c r="A77" s="26" t="s">
        <v>157</v>
      </c>
    </row>
  </sheetData>
  <mergeCells count="1">
    <mergeCell ref="B55:D55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3" topLeftCell="G4" activePane="bottomRight" state="frozen"/>
      <selection pane="topLeft" activeCell="A1" activeCellId="0" sqref="A1"/>
      <selection pane="topRight" activeCell="G1" activeCellId="0" sqref="G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62"/>
    <col collapsed="false" customWidth="true" hidden="false" outlineLevel="0" max="8" min="8" style="0" width="30"/>
    <col collapsed="false" customWidth="true" hidden="false" outlineLevel="0" max="9" min="9" style="0" width="14"/>
    <col collapsed="false" customWidth="true" hidden="false" outlineLevel="0" max="12" min="10" style="0" width="10"/>
    <col collapsed="false" customWidth="true" hidden="false" outlineLevel="0" max="13" min="13" style="0" width="12"/>
    <col collapsed="false" customWidth="true" hidden="false" outlineLevel="0" max="14" min="14" style="0" width="14"/>
  </cols>
  <sheetData>
    <row r="1" customFormat="false" ht="23.85" hidden="false" customHeight="false" outlineLevel="0" collapsed="false">
      <c r="A1" s="1" t="s">
        <v>158</v>
      </c>
    </row>
    <row r="2" customFormat="false" ht="15" hidden="false" customHeight="false" outlineLevel="0" collapsed="false">
      <c r="A2" s="2" t="s">
        <v>159</v>
      </c>
    </row>
    <row r="3" customFormat="false" ht="30" hidden="false" customHeight="true" outlineLevel="0" collapsed="false">
      <c r="A3" s="7" t="s">
        <v>160</v>
      </c>
      <c r="B3" s="7" t="s">
        <v>161</v>
      </c>
      <c r="C3" s="7" t="s">
        <v>162</v>
      </c>
      <c r="D3" s="7" t="s">
        <v>156</v>
      </c>
      <c r="E3" s="7" t="s">
        <v>163</v>
      </c>
      <c r="F3" s="7" t="s">
        <v>164</v>
      </c>
      <c r="G3" s="7" t="s">
        <v>165</v>
      </c>
      <c r="H3" s="7" t="s">
        <v>166</v>
      </c>
      <c r="I3" s="7" t="s">
        <v>167</v>
      </c>
      <c r="J3" s="7" t="s">
        <v>168</v>
      </c>
      <c r="K3" s="7" t="s">
        <v>169</v>
      </c>
      <c r="L3" s="7" t="s">
        <v>170</v>
      </c>
      <c r="M3" s="7" t="s">
        <v>171</v>
      </c>
      <c r="N3" s="7" t="s">
        <v>172</v>
      </c>
    </row>
    <row r="4" customFormat="false" ht="33.75" hidden="false" customHeight="true" outlineLevel="0" collapsed="false">
      <c r="A4" s="27" t="s">
        <v>173</v>
      </c>
      <c r="B4" s="28" t="s">
        <v>174</v>
      </c>
      <c r="C4" s="24" t="n">
        <v>-8</v>
      </c>
      <c r="D4" s="25" t="n">
        <f aca="false">參數與用量計算!$B$4+C4*7</f>
        <v>46254</v>
      </c>
      <c r="E4" s="23" t="s">
        <v>175</v>
      </c>
      <c r="F4" s="5" t="s">
        <v>176</v>
      </c>
      <c r="G4" s="4" t="s">
        <v>177</v>
      </c>
      <c r="H4" s="4" t="s">
        <v>178</v>
      </c>
      <c r="I4" s="23" t="s">
        <v>179</v>
      </c>
      <c r="J4" s="29" t="s">
        <v>180</v>
      </c>
      <c r="K4" s="4"/>
      <c r="L4" s="23" t="s">
        <v>181</v>
      </c>
      <c r="M4" s="18"/>
      <c r="N4" s="30" t="str">
        <f aca="true">IF(L4="完成","",IF(D4&lt;TODAY(),"⚠ 已過預定日",IF(D4-TODAY()&lt;=7,"本週到期","")))</f>
        <v>⚠ 已過預定日</v>
      </c>
    </row>
    <row r="5" customFormat="false" ht="33.75" hidden="false" customHeight="true" outlineLevel="0" collapsed="false">
      <c r="A5" s="27" t="s">
        <v>182</v>
      </c>
      <c r="B5" s="28" t="s">
        <v>174</v>
      </c>
      <c r="C5" s="24" t="n">
        <v>-8</v>
      </c>
      <c r="D5" s="25" t="n">
        <f aca="false">參數與用量計算!$B$4+C5*7</f>
        <v>46254</v>
      </c>
      <c r="E5" s="23" t="s">
        <v>183</v>
      </c>
      <c r="F5" s="5" t="s">
        <v>184</v>
      </c>
      <c r="G5" s="4" t="s">
        <v>185</v>
      </c>
      <c r="H5" s="4" t="s">
        <v>186</v>
      </c>
      <c r="I5" s="23" t="s">
        <v>187</v>
      </c>
      <c r="J5" s="29" t="s">
        <v>188</v>
      </c>
      <c r="K5" s="4"/>
      <c r="L5" s="23" t="s">
        <v>181</v>
      </c>
      <c r="M5" s="18"/>
      <c r="N5" s="30" t="str">
        <f aca="true">IF(L5="完成","",IF(D5&lt;TODAY(),"⚠ 已過預定日",IF(D5-TODAY()&lt;=7,"本週到期","")))</f>
        <v>⚠ 已過預定日</v>
      </c>
    </row>
    <row r="6" customFormat="false" ht="48.75" hidden="false" customHeight="true" outlineLevel="0" collapsed="false">
      <c r="A6" s="27" t="s">
        <v>189</v>
      </c>
      <c r="B6" s="28" t="s">
        <v>174</v>
      </c>
      <c r="C6" s="24" t="n">
        <v>-8</v>
      </c>
      <c r="D6" s="25" t="n">
        <f aca="false">參數與用量計算!$B$4+C6*7</f>
        <v>46254</v>
      </c>
      <c r="E6" s="23" t="s">
        <v>190</v>
      </c>
      <c r="F6" s="5" t="s">
        <v>191</v>
      </c>
      <c r="G6" s="4" t="s">
        <v>192</v>
      </c>
      <c r="H6" s="4" t="s">
        <v>193</v>
      </c>
      <c r="I6" s="23" t="s">
        <v>179</v>
      </c>
      <c r="J6" s="29" t="s">
        <v>194</v>
      </c>
      <c r="K6" s="4"/>
      <c r="L6" s="23" t="s">
        <v>181</v>
      </c>
      <c r="M6" s="18"/>
      <c r="N6" s="30" t="str">
        <f aca="true">IF(L6="完成","",IF(D6&lt;TODAY(),"⚠ 已過預定日",IF(D6-TODAY()&lt;=7,"本週到期","")))</f>
        <v>⚠ 已過預定日</v>
      </c>
    </row>
    <row r="7" customFormat="false" ht="33.75" hidden="false" customHeight="true" outlineLevel="0" collapsed="false">
      <c r="A7" s="27" t="s">
        <v>195</v>
      </c>
      <c r="B7" s="28" t="s">
        <v>174</v>
      </c>
      <c r="C7" s="24" t="n">
        <v>-7</v>
      </c>
      <c r="D7" s="25" t="n">
        <f aca="false">參數與用量計算!$B$4+C7*7</f>
        <v>46261</v>
      </c>
      <c r="E7" s="23" t="s">
        <v>175</v>
      </c>
      <c r="F7" s="5" t="s">
        <v>196</v>
      </c>
      <c r="G7" s="4" t="s">
        <v>197</v>
      </c>
      <c r="H7" s="4" t="s">
        <v>198</v>
      </c>
      <c r="I7" s="23" t="s">
        <v>179</v>
      </c>
      <c r="J7" s="29" t="s">
        <v>199</v>
      </c>
      <c r="K7" s="4"/>
      <c r="L7" s="23" t="s">
        <v>181</v>
      </c>
      <c r="M7" s="18"/>
      <c r="N7" s="30" t="str">
        <f aca="true">IF(L7="完成","",IF(D7&lt;TODAY(),"⚠ 已過預定日",IF(D7-TODAY()&lt;=7,"本週到期","")))</f>
        <v>⚠ 已過預定日</v>
      </c>
    </row>
    <row r="8" customFormat="false" ht="48.75" hidden="false" customHeight="true" outlineLevel="0" collapsed="false">
      <c r="A8" s="27" t="s">
        <v>200</v>
      </c>
      <c r="B8" s="28" t="s">
        <v>174</v>
      </c>
      <c r="C8" s="24" t="n">
        <v>-6</v>
      </c>
      <c r="D8" s="25" t="n">
        <f aca="false">參數與用量計算!$B$4+C8*7</f>
        <v>46268</v>
      </c>
      <c r="E8" s="23" t="s">
        <v>175</v>
      </c>
      <c r="F8" s="5" t="s">
        <v>201</v>
      </c>
      <c r="G8" s="4" t="s">
        <v>202</v>
      </c>
      <c r="H8" s="4" t="s">
        <v>203</v>
      </c>
      <c r="I8" s="23" t="s">
        <v>179</v>
      </c>
      <c r="J8" s="29" t="s">
        <v>204</v>
      </c>
      <c r="K8" s="4"/>
      <c r="L8" s="23" t="s">
        <v>181</v>
      </c>
      <c r="M8" s="18"/>
      <c r="N8" s="30" t="str">
        <f aca="true">IF(L8="完成","",IF(D8&lt;TODAY(),"⚠ 已過預定日",IF(D8-TODAY()&lt;=7,"本週到期","")))</f>
        <v>⚠ 已過預定日</v>
      </c>
    </row>
    <row r="9" customFormat="false" ht="63.75" hidden="false" customHeight="true" outlineLevel="0" collapsed="false">
      <c r="A9" s="27" t="s">
        <v>205</v>
      </c>
      <c r="B9" s="28" t="s">
        <v>174</v>
      </c>
      <c r="C9" s="24" t="n">
        <f aca="false">-MAX(參數與用量計算!$B$13,2)</f>
        <v>-2</v>
      </c>
      <c r="D9" s="25" t="n">
        <f aca="false">參數與用量計算!$B$4+C9*7</f>
        <v>46296</v>
      </c>
      <c r="E9" s="23" t="s">
        <v>175</v>
      </c>
      <c r="F9" s="5" t="s">
        <v>206</v>
      </c>
      <c r="G9" s="4" t="s">
        <v>207</v>
      </c>
      <c r="H9" s="4" t="s">
        <v>208</v>
      </c>
      <c r="I9" s="23" t="s">
        <v>179</v>
      </c>
      <c r="J9" s="29" t="s">
        <v>209</v>
      </c>
      <c r="K9" s="4"/>
      <c r="L9" s="23" t="s">
        <v>181</v>
      </c>
      <c r="M9" s="18"/>
      <c r="N9" s="30" t="str">
        <f aca="true">IF(L9="完成","",IF(D9&lt;TODAY(),"⚠ 已過預定日",IF(D9-TODAY()&lt;=7,"本週到期","")))</f>
        <v/>
      </c>
    </row>
    <row r="10" customFormat="false" ht="33.75" hidden="false" customHeight="true" outlineLevel="0" collapsed="false">
      <c r="A10" s="27" t="s">
        <v>210</v>
      </c>
      <c r="B10" s="28" t="s">
        <v>174</v>
      </c>
      <c r="C10" s="24" t="n">
        <v>-3</v>
      </c>
      <c r="D10" s="25" t="n">
        <f aca="false">參數與用量計算!$B$4+C10*7</f>
        <v>46289</v>
      </c>
      <c r="E10" s="23" t="s">
        <v>175</v>
      </c>
      <c r="F10" s="5" t="s">
        <v>211</v>
      </c>
      <c r="G10" s="4" t="s">
        <v>212</v>
      </c>
      <c r="H10" s="4" t="s">
        <v>213</v>
      </c>
      <c r="I10" s="23" t="s">
        <v>187</v>
      </c>
      <c r="J10" s="29" t="s">
        <v>214</v>
      </c>
      <c r="K10" s="4"/>
      <c r="L10" s="23" t="s">
        <v>181</v>
      </c>
      <c r="M10" s="18"/>
      <c r="N10" s="30" t="str">
        <f aca="true">IF(L10="完成","",IF(D10&lt;TODAY(),"⚠ 已過預定日",IF(D10-TODAY()&lt;=7,"本週到期","")))</f>
        <v/>
      </c>
    </row>
    <row r="11" customFormat="false" ht="33.75" hidden="false" customHeight="true" outlineLevel="0" collapsed="false">
      <c r="A11" s="27" t="s">
        <v>215</v>
      </c>
      <c r="B11" s="28" t="s">
        <v>174</v>
      </c>
      <c r="C11" s="24" t="n">
        <v>-2</v>
      </c>
      <c r="D11" s="25" t="n">
        <f aca="false">參數與用量計算!$B$4+C11*7</f>
        <v>46296</v>
      </c>
      <c r="E11" s="23" t="s">
        <v>175</v>
      </c>
      <c r="F11" s="5" t="s">
        <v>216</v>
      </c>
      <c r="G11" s="4" t="s">
        <v>217</v>
      </c>
      <c r="H11" s="4" t="s">
        <v>218</v>
      </c>
      <c r="I11" s="23" t="s">
        <v>179</v>
      </c>
      <c r="J11" s="29" t="s">
        <v>204</v>
      </c>
      <c r="K11" s="4"/>
      <c r="L11" s="23" t="s">
        <v>181</v>
      </c>
      <c r="M11" s="18"/>
      <c r="N11" s="30" t="str">
        <f aca="true">IF(L11="完成","",IF(D11&lt;TODAY(),"⚠ 已過預定日",IF(D11-TODAY()&lt;=7,"本週到期","")))</f>
        <v/>
      </c>
    </row>
    <row r="12" customFormat="false" ht="33.75" hidden="false" customHeight="true" outlineLevel="0" collapsed="false">
      <c r="A12" s="27" t="s">
        <v>219</v>
      </c>
      <c r="B12" s="28" t="s">
        <v>174</v>
      </c>
      <c r="C12" s="24" t="n">
        <v>-1</v>
      </c>
      <c r="D12" s="25" t="n">
        <f aca="false">參數與用量計算!$B$4+C12*7</f>
        <v>46303</v>
      </c>
      <c r="E12" s="23" t="s">
        <v>175</v>
      </c>
      <c r="F12" s="5" t="s">
        <v>220</v>
      </c>
      <c r="G12" s="4" t="s">
        <v>221</v>
      </c>
      <c r="H12" s="4" t="s">
        <v>222</v>
      </c>
      <c r="I12" s="23" t="s">
        <v>179</v>
      </c>
      <c r="J12" s="29" t="s">
        <v>204</v>
      </c>
      <c r="K12" s="4"/>
      <c r="L12" s="23" t="s">
        <v>181</v>
      </c>
      <c r="M12" s="18"/>
      <c r="N12" s="30" t="str">
        <f aca="true">IF(L12="完成","",IF(D12&lt;TODAY(),"⚠ 已過預定日",IF(D12-TODAY()&lt;=7,"本週到期","")))</f>
        <v/>
      </c>
    </row>
    <row r="13" customFormat="false" ht="33.75" hidden="false" customHeight="true" outlineLevel="0" collapsed="false">
      <c r="A13" s="27" t="s">
        <v>223</v>
      </c>
      <c r="B13" s="28" t="s">
        <v>174</v>
      </c>
      <c r="C13" s="24" t="n">
        <v>-1</v>
      </c>
      <c r="D13" s="25" t="n">
        <f aca="false">參數與用量計算!$B$4+C13*7</f>
        <v>46303</v>
      </c>
      <c r="E13" s="23" t="s">
        <v>175</v>
      </c>
      <c r="F13" s="5" t="s">
        <v>224</v>
      </c>
      <c r="G13" s="4" t="s">
        <v>225</v>
      </c>
      <c r="H13" s="4" t="s">
        <v>226</v>
      </c>
      <c r="I13" s="23" t="s">
        <v>227</v>
      </c>
      <c r="J13" s="29" t="s">
        <v>228</v>
      </c>
      <c r="K13" s="4"/>
      <c r="L13" s="23" t="s">
        <v>181</v>
      </c>
      <c r="M13" s="18"/>
      <c r="N13" s="30" t="str">
        <f aca="true">IF(L13="完成","",IF(D13&lt;TODAY(),"⚠ 已過預定日",IF(D13-TODAY()&lt;=7,"本週到期","")))</f>
        <v/>
      </c>
    </row>
    <row r="14" customFormat="false" ht="48.75" hidden="false" customHeight="true" outlineLevel="0" collapsed="false">
      <c r="A14" s="31" t="s">
        <v>229</v>
      </c>
      <c r="B14" s="32" t="s">
        <v>230</v>
      </c>
      <c r="C14" s="24" t="n">
        <v>0</v>
      </c>
      <c r="D14" s="25" t="n">
        <f aca="false">參數與用量計算!$B$4+C14*7</f>
        <v>46310</v>
      </c>
      <c r="E14" s="23" t="s">
        <v>231</v>
      </c>
      <c r="F14" s="5" t="s">
        <v>232</v>
      </c>
      <c r="G14" s="4" t="s">
        <v>233</v>
      </c>
      <c r="H14" s="4" t="s">
        <v>234</v>
      </c>
      <c r="I14" s="23" t="s">
        <v>179</v>
      </c>
      <c r="J14" s="29" t="s">
        <v>235</v>
      </c>
      <c r="K14" s="4"/>
      <c r="L14" s="23" t="s">
        <v>181</v>
      </c>
      <c r="M14" s="18"/>
      <c r="N14" s="30" t="str">
        <f aca="true">IF(L14="完成","",IF(D14&lt;TODAY(),"⚠ 已過預定日",IF(D14-TODAY()&lt;=7,"本週到期","")))</f>
        <v/>
      </c>
    </row>
    <row r="15" customFormat="false" ht="33.75" hidden="false" customHeight="true" outlineLevel="0" collapsed="false">
      <c r="A15" s="31" t="s">
        <v>236</v>
      </c>
      <c r="B15" s="32" t="s">
        <v>230</v>
      </c>
      <c r="C15" s="24" t="n">
        <v>0</v>
      </c>
      <c r="D15" s="25" t="n">
        <f aca="false">參數與用量計算!$B$4+C15*7</f>
        <v>46310</v>
      </c>
      <c r="E15" s="23" t="s">
        <v>175</v>
      </c>
      <c r="F15" s="5" t="s">
        <v>237</v>
      </c>
      <c r="G15" s="4" t="s">
        <v>238</v>
      </c>
      <c r="H15" s="4" t="s">
        <v>239</v>
      </c>
      <c r="I15" s="23" t="s">
        <v>179</v>
      </c>
      <c r="J15" s="29" t="s">
        <v>240</v>
      </c>
      <c r="K15" s="4"/>
      <c r="L15" s="23" t="s">
        <v>181</v>
      </c>
      <c r="M15" s="18"/>
      <c r="N15" s="30" t="str">
        <f aca="true">IF(L15="完成","",IF(D15&lt;TODAY(),"⚠ 已過預定日",IF(D15-TODAY()&lt;=7,"本週到期","")))</f>
        <v/>
      </c>
    </row>
    <row r="16" customFormat="false" ht="33.75" hidden="false" customHeight="true" outlineLevel="0" collapsed="false">
      <c r="A16" s="31" t="s">
        <v>241</v>
      </c>
      <c r="B16" s="32" t="s">
        <v>230</v>
      </c>
      <c r="C16" s="24" t="n">
        <v>0</v>
      </c>
      <c r="D16" s="25" t="n">
        <f aca="false">參數與用量計算!$B$4+C16*7</f>
        <v>46310</v>
      </c>
      <c r="E16" s="23" t="s">
        <v>242</v>
      </c>
      <c r="F16" s="5" t="s">
        <v>243</v>
      </c>
      <c r="G16" s="4" t="s">
        <v>244</v>
      </c>
      <c r="H16" s="4" t="s">
        <v>245</v>
      </c>
      <c r="I16" s="23" t="s">
        <v>187</v>
      </c>
      <c r="J16" s="29" t="s">
        <v>246</v>
      </c>
      <c r="K16" s="4"/>
      <c r="L16" s="23" t="s">
        <v>181</v>
      </c>
      <c r="M16" s="18"/>
      <c r="N16" s="30" t="str">
        <f aca="true">IF(L16="完成","",IF(D16&lt;TODAY(),"⚠ 已過預定日",IF(D16-TODAY()&lt;=7,"本週到期","")))</f>
        <v/>
      </c>
    </row>
    <row r="17" customFormat="false" ht="15" hidden="false" customHeight="false" outlineLevel="0" collapsed="false">
      <c r="A17" s="31" t="s">
        <v>247</v>
      </c>
      <c r="B17" s="32" t="s">
        <v>230</v>
      </c>
      <c r="C17" s="24" t="n">
        <v>1</v>
      </c>
      <c r="D17" s="25" t="n">
        <f aca="false">參數與用量計算!$B$4+C17*7</f>
        <v>46317</v>
      </c>
      <c r="E17" s="23" t="s">
        <v>175</v>
      </c>
      <c r="F17" s="5" t="s">
        <v>248</v>
      </c>
      <c r="G17" s="4" t="s">
        <v>249</v>
      </c>
      <c r="H17" s="4" t="s">
        <v>250</v>
      </c>
      <c r="I17" s="23" t="s">
        <v>179</v>
      </c>
      <c r="J17" s="29" t="s">
        <v>251</v>
      </c>
      <c r="K17" s="4"/>
      <c r="L17" s="23" t="s">
        <v>181</v>
      </c>
      <c r="M17" s="18"/>
      <c r="N17" s="30" t="str">
        <f aca="true">IF(L17="完成","",IF(D17&lt;TODAY(),"⚠ 已過預定日",IF(D17-TODAY()&lt;=7,"本週到期","")))</f>
        <v/>
      </c>
    </row>
    <row r="18" customFormat="false" ht="33.75" hidden="false" customHeight="true" outlineLevel="0" collapsed="false">
      <c r="A18" s="31" t="s">
        <v>252</v>
      </c>
      <c r="B18" s="32" t="s">
        <v>230</v>
      </c>
      <c r="C18" s="24" t="n">
        <v>1</v>
      </c>
      <c r="D18" s="25" t="n">
        <f aca="false">參數與用量計算!$B$4+C18*7</f>
        <v>46317</v>
      </c>
      <c r="E18" s="23" t="s">
        <v>253</v>
      </c>
      <c r="F18" s="5" t="s">
        <v>254</v>
      </c>
      <c r="G18" s="4" t="s">
        <v>255</v>
      </c>
      <c r="H18" s="4" t="s">
        <v>256</v>
      </c>
      <c r="I18" s="23" t="s">
        <v>179</v>
      </c>
      <c r="J18" s="29" t="s">
        <v>257</v>
      </c>
      <c r="K18" s="4"/>
      <c r="L18" s="23" t="s">
        <v>181</v>
      </c>
      <c r="M18" s="18"/>
      <c r="N18" s="30" t="str">
        <f aca="true">IF(L18="完成","",IF(D18&lt;TODAY(),"⚠ 已過預定日",IF(D18-TODAY()&lt;=7,"本週到期","")))</f>
        <v/>
      </c>
    </row>
    <row r="19" customFormat="false" ht="15" hidden="false" customHeight="false" outlineLevel="0" collapsed="false">
      <c r="A19" s="31" t="s">
        <v>258</v>
      </c>
      <c r="B19" s="32" t="s">
        <v>259</v>
      </c>
      <c r="C19" s="24" t="n">
        <v>2</v>
      </c>
      <c r="D19" s="25" t="n">
        <f aca="false">參數與用量計算!$B$4+C19*7</f>
        <v>46324</v>
      </c>
      <c r="E19" s="23" t="s">
        <v>175</v>
      </c>
      <c r="F19" s="5" t="s">
        <v>260</v>
      </c>
      <c r="G19" s="4" t="s">
        <v>261</v>
      </c>
      <c r="H19" s="4" t="s">
        <v>262</v>
      </c>
      <c r="I19" s="23" t="s">
        <v>179</v>
      </c>
      <c r="J19" s="29" t="s">
        <v>151</v>
      </c>
      <c r="K19" s="4"/>
      <c r="L19" s="23" t="s">
        <v>181</v>
      </c>
      <c r="M19" s="18"/>
      <c r="N19" s="30" t="str">
        <f aca="true">IF(L19="完成","",IF(D19&lt;TODAY(),"⚠ 已過預定日",IF(D19-TODAY()&lt;=7,"本週到期","")))</f>
        <v/>
      </c>
    </row>
    <row r="20" customFormat="false" ht="33.75" hidden="false" customHeight="true" outlineLevel="0" collapsed="false">
      <c r="A20" s="31" t="s">
        <v>263</v>
      </c>
      <c r="B20" s="32" t="s">
        <v>259</v>
      </c>
      <c r="C20" s="24" t="n">
        <v>2</v>
      </c>
      <c r="D20" s="25" t="n">
        <f aca="false">參數與用量計算!$B$4+C20*7</f>
        <v>46324</v>
      </c>
      <c r="E20" s="23" t="s">
        <v>253</v>
      </c>
      <c r="F20" s="5" t="s">
        <v>264</v>
      </c>
      <c r="G20" s="4" t="s">
        <v>265</v>
      </c>
      <c r="H20" s="4" t="s">
        <v>266</v>
      </c>
      <c r="I20" s="23" t="s">
        <v>179</v>
      </c>
      <c r="J20" s="29" t="s">
        <v>267</v>
      </c>
      <c r="K20" s="4"/>
      <c r="L20" s="23" t="s">
        <v>181</v>
      </c>
      <c r="M20" s="18"/>
      <c r="N20" s="30" t="str">
        <f aca="true">IF(L20="完成","",IF(D20&lt;TODAY(),"⚠ 已過預定日",IF(D20-TODAY()&lt;=7,"本週到期","")))</f>
        <v/>
      </c>
    </row>
    <row r="21" customFormat="false" ht="48.75" hidden="false" customHeight="true" outlineLevel="0" collapsed="false">
      <c r="A21" s="33" t="s">
        <v>268</v>
      </c>
      <c r="B21" s="34" t="s">
        <v>269</v>
      </c>
      <c r="C21" s="24" t="n">
        <f aca="false">參數與用量計算!$B$14</f>
        <v>3</v>
      </c>
      <c r="D21" s="25" t="n">
        <f aca="false">參數與用量計算!$B$4+C21*7</f>
        <v>46331</v>
      </c>
      <c r="E21" s="23" t="s">
        <v>270</v>
      </c>
      <c r="F21" s="5" t="s">
        <v>271</v>
      </c>
      <c r="G21" s="4" t="s">
        <v>272</v>
      </c>
      <c r="H21" s="10" t="s">
        <v>273</v>
      </c>
      <c r="I21" s="23" t="s">
        <v>274</v>
      </c>
      <c r="J21" s="29" t="s">
        <v>275</v>
      </c>
      <c r="K21" s="4"/>
      <c r="L21" s="23" t="s">
        <v>181</v>
      </c>
      <c r="M21" s="18"/>
      <c r="N21" s="30" t="str">
        <f aca="true">IF(L21="完成","",IF(D21&lt;TODAY(),"⚠ 已過預定日",IF(D21-TODAY()&lt;=7,"本週到期","")))</f>
        <v/>
      </c>
    </row>
    <row r="22" customFormat="false" ht="48.75" hidden="false" customHeight="true" outlineLevel="0" collapsed="false">
      <c r="A22" s="33" t="s">
        <v>276</v>
      </c>
      <c r="B22" s="34" t="s">
        <v>269</v>
      </c>
      <c r="C22" s="24" t="n">
        <f aca="false">參數與用量計算!$B$14</f>
        <v>3</v>
      </c>
      <c r="D22" s="25" t="n">
        <f aca="false">參數與用量計算!$B$4+C22*7</f>
        <v>46331</v>
      </c>
      <c r="E22" s="23" t="s">
        <v>277</v>
      </c>
      <c r="F22" s="5" t="s">
        <v>278</v>
      </c>
      <c r="G22" s="4" t="s">
        <v>279</v>
      </c>
      <c r="H22" s="4" t="s">
        <v>280</v>
      </c>
      <c r="I22" s="23" t="s">
        <v>227</v>
      </c>
      <c r="J22" s="29" t="s">
        <v>281</v>
      </c>
      <c r="K22" s="4"/>
      <c r="L22" s="23" t="s">
        <v>181</v>
      </c>
      <c r="M22" s="18"/>
      <c r="N22" s="30" t="str">
        <f aca="true">IF(L22="完成","",IF(D22&lt;TODAY(),"⚠ 已過預定日",IF(D22-TODAY()&lt;=7,"本週到期","")))</f>
        <v/>
      </c>
    </row>
    <row r="23" customFormat="false" ht="33.75" hidden="false" customHeight="true" outlineLevel="0" collapsed="false">
      <c r="A23" s="33" t="s">
        <v>282</v>
      </c>
      <c r="B23" s="34" t="s">
        <v>269</v>
      </c>
      <c r="C23" s="24" t="n">
        <f aca="false">參數與用量計算!$B$14</f>
        <v>3</v>
      </c>
      <c r="D23" s="25" t="n">
        <f aca="false">參數與用量計算!$B$4+C23*7</f>
        <v>46331</v>
      </c>
      <c r="E23" s="23" t="s">
        <v>283</v>
      </c>
      <c r="F23" s="5" t="s">
        <v>284</v>
      </c>
      <c r="G23" s="4" t="s">
        <v>285</v>
      </c>
      <c r="H23" s="4" t="s">
        <v>286</v>
      </c>
      <c r="I23" s="23" t="s">
        <v>179</v>
      </c>
      <c r="J23" s="29" t="s">
        <v>267</v>
      </c>
      <c r="K23" s="4"/>
      <c r="L23" s="23" t="s">
        <v>181</v>
      </c>
      <c r="M23" s="18"/>
      <c r="N23" s="30" t="str">
        <f aca="true">IF(L23="完成","",IF(D23&lt;TODAY(),"⚠ 已過預定日",IF(D23-TODAY()&lt;=7,"本週到期","")))</f>
        <v/>
      </c>
    </row>
    <row r="24" customFormat="false" ht="33.75" hidden="false" customHeight="true" outlineLevel="0" collapsed="false">
      <c r="A24" s="33" t="s">
        <v>287</v>
      </c>
      <c r="B24" s="34" t="s">
        <v>269</v>
      </c>
      <c r="C24" s="24" t="n">
        <f aca="false">參數與用量計算!$B$15</f>
        <v>4</v>
      </c>
      <c r="D24" s="25" t="n">
        <f aca="false">參數與用量計算!$B$4+C24*7</f>
        <v>46338</v>
      </c>
      <c r="E24" s="23" t="s">
        <v>175</v>
      </c>
      <c r="F24" s="5" t="s">
        <v>288</v>
      </c>
      <c r="G24" s="4" t="s">
        <v>289</v>
      </c>
      <c r="H24" s="4" t="s">
        <v>290</v>
      </c>
      <c r="I24" s="23" t="s">
        <v>187</v>
      </c>
      <c r="J24" s="29" t="s">
        <v>214</v>
      </c>
      <c r="K24" s="4"/>
      <c r="L24" s="23" t="s">
        <v>181</v>
      </c>
      <c r="M24" s="18"/>
      <c r="N24" s="30" t="str">
        <f aca="true">IF(L24="完成","",IF(D24&lt;TODAY(),"⚠ 已過預定日",IF(D24-TODAY()&lt;=7,"本週到期","")))</f>
        <v/>
      </c>
    </row>
    <row r="25" customFormat="false" ht="63.75" hidden="false" customHeight="true" outlineLevel="0" collapsed="false">
      <c r="A25" s="33" t="s">
        <v>291</v>
      </c>
      <c r="B25" s="34" t="s">
        <v>269</v>
      </c>
      <c r="C25" s="24" t="n">
        <f aca="false">參數與用量計算!$B$14</f>
        <v>3</v>
      </c>
      <c r="D25" s="25" t="n">
        <f aca="false">參數與用量計算!$B$4+C25*7</f>
        <v>46331</v>
      </c>
      <c r="E25" s="23" t="s">
        <v>253</v>
      </c>
      <c r="F25" s="5" t="s">
        <v>292</v>
      </c>
      <c r="G25" s="4" t="s">
        <v>293</v>
      </c>
      <c r="H25" s="4" t="s">
        <v>294</v>
      </c>
      <c r="I25" s="23" t="s">
        <v>295</v>
      </c>
      <c r="J25" s="29" t="s">
        <v>296</v>
      </c>
      <c r="K25" s="4"/>
      <c r="L25" s="23" t="s">
        <v>181</v>
      </c>
      <c r="M25" s="18"/>
      <c r="N25" s="30" t="str">
        <f aca="true">IF(L25="完成","",IF(D25&lt;TODAY(),"⚠ 已過預定日",IF(D25-TODAY()&lt;=7,"本週到期","")))</f>
        <v/>
      </c>
    </row>
    <row r="26" customFormat="false" ht="15" hidden="false" customHeight="false" outlineLevel="0" collapsed="false">
      <c r="A26" s="33" t="s">
        <v>297</v>
      </c>
      <c r="B26" s="34" t="s">
        <v>269</v>
      </c>
      <c r="C26" s="24" t="n">
        <f aca="false">參數與用量計算!$B$14</f>
        <v>3</v>
      </c>
      <c r="D26" s="25" t="n">
        <f aca="false">參數與用量計算!$B$4+C26*7</f>
        <v>46331</v>
      </c>
      <c r="E26" s="23" t="s">
        <v>253</v>
      </c>
      <c r="F26" s="5" t="s">
        <v>298</v>
      </c>
      <c r="G26" s="4" t="s">
        <v>299</v>
      </c>
      <c r="H26" s="4" t="s">
        <v>300</v>
      </c>
      <c r="I26" s="23" t="s">
        <v>179</v>
      </c>
      <c r="J26" s="29" t="s">
        <v>257</v>
      </c>
      <c r="K26" s="4"/>
      <c r="L26" s="23" t="s">
        <v>181</v>
      </c>
      <c r="M26" s="18"/>
      <c r="N26" s="30" t="str">
        <f aca="true">IF(L26="完成","",IF(D26&lt;TODAY(),"⚠ 已過預定日",IF(D26-TODAY()&lt;=7,"本週到期","")))</f>
        <v/>
      </c>
    </row>
    <row r="27" customFormat="false" ht="33.75" hidden="false" customHeight="true" outlineLevel="0" collapsed="false">
      <c r="A27" s="33" t="s">
        <v>301</v>
      </c>
      <c r="B27" s="34" t="s">
        <v>269</v>
      </c>
      <c r="C27" s="24" t="n">
        <v>6</v>
      </c>
      <c r="D27" s="25" t="n">
        <f aca="false">參數與用量計算!$B$4+C27*7</f>
        <v>46352</v>
      </c>
      <c r="E27" s="23" t="s">
        <v>242</v>
      </c>
      <c r="F27" s="5" t="s">
        <v>302</v>
      </c>
      <c r="G27" s="4" t="s">
        <v>303</v>
      </c>
      <c r="H27" s="4" t="s">
        <v>304</v>
      </c>
      <c r="I27" s="23" t="s">
        <v>274</v>
      </c>
      <c r="J27" s="29" t="s">
        <v>305</v>
      </c>
      <c r="K27" s="4"/>
      <c r="L27" s="23" t="s">
        <v>181</v>
      </c>
      <c r="M27" s="18"/>
      <c r="N27" s="30" t="str">
        <f aca="true">IF(L27="完成","",IF(D27&lt;TODAY(),"⚠ 已過預定日",IF(D27-TODAY()&lt;=7,"本週到期","")))</f>
        <v/>
      </c>
    </row>
    <row r="28" customFormat="false" ht="48.75" hidden="false" customHeight="true" outlineLevel="0" collapsed="false">
      <c r="A28" s="35" t="s">
        <v>306</v>
      </c>
      <c r="B28" s="36" t="s">
        <v>307</v>
      </c>
      <c r="C28" s="24" t="n">
        <f aca="false">參數與用量計算!$B$18</f>
        <v>11</v>
      </c>
      <c r="D28" s="25" t="n">
        <f aca="false">參數與用量計算!$B$4+C28*7</f>
        <v>46387</v>
      </c>
      <c r="E28" s="23" t="s">
        <v>175</v>
      </c>
      <c r="F28" s="5" t="s">
        <v>308</v>
      </c>
      <c r="G28" s="4" t="s">
        <v>309</v>
      </c>
      <c r="H28" s="4" t="s">
        <v>310</v>
      </c>
      <c r="I28" s="23" t="s">
        <v>187</v>
      </c>
      <c r="J28" s="29" t="s">
        <v>311</v>
      </c>
      <c r="K28" s="4"/>
      <c r="L28" s="23" t="s">
        <v>181</v>
      </c>
      <c r="M28" s="18"/>
      <c r="N28" s="30" t="str">
        <f aca="true">IF(L28="完成","",IF(D28&lt;TODAY(),"⚠ 已過預定日",IF(D28-TODAY()&lt;=7,"本週到期","")))</f>
        <v/>
      </c>
    </row>
    <row r="29" customFormat="false" ht="33.75" hidden="false" customHeight="true" outlineLevel="0" collapsed="false">
      <c r="A29" s="35" t="s">
        <v>312</v>
      </c>
      <c r="B29" s="36" t="s">
        <v>307</v>
      </c>
      <c r="C29" s="24" t="n">
        <f aca="false">參數與用量計算!$B$18</f>
        <v>11</v>
      </c>
      <c r="D29" s="25" t="n">
        <f aca="false">參數與用量計算!$B$4+C29*7</f>
        <v>46387</v>
      </c>
      <c r="E29" s="23" t="s">
        <v>253</v>
      </c>
      <c r="F29" s="5" t="s">
        <v>313</v>
      </c>
      <c r="G29" s="4" t="s">
        <v>314</v>
      </c>
      <c r="H29" s="4" t="s">
        <v>315</v>
      </c>
      <c r="I29" s="23" t="s">
        <v>179</v>
      </c>
      <c r="J29" s="29" t="s">
        <v>316</v>
      </c>
      <c r="K29" s="4"/>
      <c r="L29" s="23" t="s">
        <v>181</v>
      </c>
      <c r="M29" s="18"/>
      <c r="N29" s="30" t="str">
        <f aca="true">IF(L29="完成","",IF(D29&lt;TODAY(),"⚠ 已過預定日",IF(D29-TODAY()&lt;=7,"本週到期","")))</f>
        <v/>
      </c>
    </row>
    <row r="30" customFormat="false" ht="33.75" hidden="false" customHeight="true" outlineLevel="0" collapsed="false">
      <c r="A30" s="35" t="s">
        <v>317</v>
      </c>
      <c r="B30" s="36" t="s">
        <v>307</v>
      </c>
      <c r="C30" s="24" t="n">
        <f aca="false">參數與用量計算!$B$18</f>
        <v>11</v>
      </c>
      <c r="D30" s="25" t="n">
        <f aca="false">參數與用量計算!$B$4+C30*7</f>
        <v>46387</v>
      </c>
      <c r="E30" s="23" t="s">
        <v>318</v>
      </c>
      <c r="F30" s="5" t="s">
        <v>319</v>
      </c>
      <c r="G30" s="4" t="s">
        <v>320</v>
      </c>
      <c r="H30" s="4" t="s">
        <v>321</v>
      </c>
      <c r="I30" s="23" t="s">
        <v>179</v>
      </c>
      <c r="J30" s="29" t="s">
        <v>322</v>
      </c>
      <c r="K30" s="4"/>
      <c r="L30" s="23" t="s">
        <v>181</v>
      </c>
      <c r="M30" s="18"/>
      <c r="N30" s="30" t="str">
        <f aca="true">IF(L30="完成","",IF(D30&lt;TODAY(),"⚠ 已過預定日",IF(D30-TODAY()&lt;=7,"本週到期","")))</f>
        <v/>
      </c>
    </row>
    <row r="31" customFormat="false" ht="33.75" hidden="false" customHeight="true" outlineLevel="0" collapsed="false">
      <c r="A31" s="35" t="s">
        <v>323</v>
      </c>
      <c r="B31" s="36" t="s">
        <v>307</v>
      </c>
      <c r="C31" s="24" t="n">
        <f aca="false">參數與用量計算!$B$18</f>
        <v>11</v>
      </c>
      <c r="D31" s="25" t="n">
        <f aca="false">參數與用量計算!$B$4+C31*7</f>
        <v>46387</v>
      </c>
      <c r="E31" s="23" t="s">
        <v>324</v>
      </c>
      <c r="F31" s="5" t="s">
        <v>325</v>
      </c>
      <c r="G31" s="4" t="s">
        <v>326</v>
      </c>
      <c r="H31" s="4" t="s">
        <v>327</v>
      </c>
      <c r="I31" s="23" t="s">
        <v>328</v>
      </c>
      <c r="J31" s="29" t="s">
        <v>329</v>
      </c>
      <c r="K31" s="4"/>
      <c r="L31" s="23" t="s">
        <v>181</v>
      </c>
      <c r="M31" s="18"/>
      <c r="N31" s="30" t="str">
        <f aca="true">IF(L31="完成","",IF(D31&lt;TODAY(),"⚠ 已過預定日",IF(D31-TODAY()&lt;=7,"本週到期","")))</f>
        <v/>
      </c>
    </row>
    <row r="32" customFormat="false" ht="48.75" hidden="false" customHeight="true" outlineLevel="0" collapsed="false">
      <c r="A32" s="35" t="s">
        <v>330</v>
      </c>
      <c r="B32" s="36" t="s">
        <v>307</v>
      </c>
      <c r="C32" s="24" t="n">
        <f aca="false">參數與用量計算!$B$18</f>
        <v>11</v>
      </c>
      <c r="D32" s="25" t="n">
        <f aca="false">參數與用量計算!$B$4+C32*7</f>
        <v>46387</v>
      </c>
      <c r="E32" s="23" t="s">
        <v>331</v>
      </c>
      <c r="F32" s="5" t="s">
        <v>332</v>
      </c>
      <c r="G32" s="4" t="s">
        <v>333</v>
      </c>
      <c r="H32" s="4" t="s">
        <v>334</v>
      </c>
      <c r="I32" s="23" t="s">
        <v>328</v>
      </c>
      <c r="J32" s="29" t="s">
        <v>335</v>
      </c>
      <c r="K32" s="4"/>
      <c r="L32" s="23" t="s">
        <v>181</v>
      </c>
      <c r="M32" s="18"/>
      <c r="N32" s="30" t="str">
        <f aca="true">IF(L32="完成","",IF(D32&lt;TODAY(),"⚠ 已過預定日",IF(D32-TODAY()&lt;=7,"本週到期","")))</f>
        <v/>
      </c>
    </row>
    <row r="33" customFormat="false" ht="33.75" hidden="false" customHeight="true" outlineLevel="0" collapsed="false">
      <c r="A33" s="35" t="s">
        <v>336</v>
      </c>
      <c r="B33" s="36" t="s">
        <v>307</v>
      </c>
      <c r="C33" s="24" t="n">
        <f aca="false">參數與用量計算!$B$18</f>
        <v>11</v>
      </c>
      <c r="D33" s="25" t="n">
        <f aca="false">參數與用量計算!$B$4+C33*7</f>
        <v>46387</v>
      </c>
      <c r="E33" s="23" t="s">
        <v>337</v>
      </c>
      <c r="F33" s="5" t="s">
        <v>338</v>
      </c>
      <c r="G33" s="4" t="s">
        <v>339</v>
      </c>
      <c r="H33" s="4" t="s">
        <v>340</v>
      </c>
      <c r="I33" s="23" t="s">
        <v>227</v>
      </c>
      <c r="J33" s="29" t="s">
        <v>188</v>
      </c>
      <c r="K33" s="4"/>
      <c r="L33" s="23" t="s">
        <v>181</v>
      </c>
      <c r="M33" s="18"/>
      <c r="N33" s="30" t="str">
        <f aca="true">IF(L33="完成","",IF(D33&lt;TODAY(),"⚠ 已過預定日",IF(D33-TODAY()&lt;=7,"本週到期","")))</f>
        <v/>
      </c>
    </row>
    <row r="34" customFormat="false" ht="33.75" hidden="false" customHeight="true" outlineLevel="0" collapsed="false">
      <c r="A34" s="35" t="s">
        <v>341</v>
      </c>
      <c r="B34" s="36" t="s">
        <v>307</v>
      </c>
      <c r="C34" s="24" t="n">
        <f aca="false">參數與用量計算!$B$18</f>
        <v>11</v>
      </c>
      <c r="D34" s="25" t="n">
        <f aca="false">參數與用量計算!$B$4+C34*7</f>
        <v>46387</v>
      </c>
      <c r="E34" s="23" t="s">
        <v>342</v>
      </c>
      <c r="F34" s="5" t="s">
        <v>343</v>
      </c>
      <c r="G34" s="4" t="s">
        <v>344</v>
      </c>
      <c r="H34" s="4" t="s">
        <v>345</v>
      </c>
      <c r="I34" s="23" t="s">
        <v>187</v>
      </c>
      <c r="J34" s="29" t="s">
        <v>204</v>
      </c>
      <c r="K34" s="4"/>
      <c r="L34" s="23" t="s">
        <v>181</v>
      </c>
      <c r="M34" s="18"/>
      <c r="N34" s="30" t="str">
        <f aca="true">IF(L34="完成","",IF(D34&lt;TODAY(),"⚠ 已過預定日",IF(D34-TODAY()&lt;=7,"本週到期","")))</f>
        <v/>
      </c>
    </row>
    <row r="35" customFormat="false" ht="48.75" hidden="false" customHeight="true" outlineLevel="0" collapsed="false">
      <c r="A35" s="35" t="s">
        <v>346</v>
      </c>
      <c r="B35" s="36" t="s">
        <v>307</v>
      </c>
      <c r="C35" s="24" t="n">
        <f aca="false">參數與用量計算!$B$18</f>
        <v>11</v>
      </c>
      <c r="D35" s="25" t="n">
        <f aca="false">參數與用量計算!$B$4+C35*7</f>
        <v>46387</v>
      </c>
      <c r="E35" s="23" t="s">
        <v>347</v>
      </c>
      <c r="F35" s="5" t="s">
        <v>348</v>
      </c>
      <c r="G35" s="4" t="s">
        <v>349</v>
      </c>
      <c r="H35" s="4" t="s">
        <v>350</v>
      </c>
      <c r="I35" s="23" t="s">
        <v>187</v>
      </c>
      <c r="J35" s="29" t="s">
        <v>351</v>
      </c>
      <c r="K35" s="4"/>
      <c r="L35" s="23" t="s">
        <v>181</v>
      </c>
      <c r="M35" s="18"/>
      <c r="N35" s="30" t="str">
        <f aca="true">IF(L35="完成","",IF(D35&lt;TODAY(),"⚠ 已過預定日",IF(D35-TODAY()&lt;=7,"本週到期","")))</f>
        <v/>
      </c>
    </row>
    <row r="36" customFormat="false" ht="33.75" hidden="false" customHeight="true" outlineLevel="0" collapsed="false">
      <c r="A36" s="37" t="s">
        <v>352</v>
      </c>
      <c r="B36" s="38" t="s">
        <v>353</v>
      </c>
      <c r="C36" s="24" t="n">
        <f aca="false">參數與用量計算!$B$19-6</f>
        <v>24</v>
      </c>
      <c r="D36" s="25" t="n">
        <f aca="false">參數與用量計算!$B$4+C36*7</f>
        <v>46478</v>
      </c>
      <c r="E36" s="23" t="s">
        <v>175</v>
      </c>
      <c r="F36" s="5" t="s">
        <v>354</v>
      </c>
      <c r="G36" s="4" t="s">
        <v>355</v>
      </c>
      <c r="H36" s="4" t="s">
        <v>356</v>
      </c>
      <c r="I36" s="23" t="s">
        <v>179</v>
      </c>
      <c r="J36" s="29" t="s">
        <v>357</v>
      </c>
      <c r="K36" s="4"/>
      <c r="L36" s="23" t="s">
        <v>181</v>
      </c>
      <c r="M36" s="18"/>
      <c r="N36" s="30" t="str">
        <f aca="true">IF(L36="完成","",IF(D36&lt;TODAY(),"⚠ 已過預定日",IF(D36-TODAY()&lt;=7,"本週到期","")))</f>
        <v/>
      </c>
    </row>
    <row r="37" customFormat="false" ht="33.75" hidden="false" customHeight="true" outlineLevel="0" collapsed="false">
      <c r="A37" s="37" t="s">
        <v>358</v>
      </c>
      <c r="B37" s="38" t="s">
        <v>353</v>
      </c>
      <c r="C37" s="24" t="n">
        <f aca="false">參數與用量計算!$B$19+1</f>
        <v>31</v>
      </c>
      <c r="D37" s="25" t="n">
        <f aca="false">參數與用量計算!$B$4+C37*7</f>
        <v>46527</v>
      </c>
      <c r="E37" s="23" t="s">
        <v>175</v>
      </c>
      <c r="F37" s="5" t="s">
        <v>359</v>
      </c>
      <c r="G37" s="4" t="s">
        <v>360</v>
      </c>
      <c r="H37" s="4" t="s">
        <v>361</v>
      </c>
      <c r="I37" s="23" t="s">
        <v>179</v>
      </c>
      <c r="J37" s="29" t="s">
        <v>180</v>
      </c>
      <c r="K37" s="4"/>
      <c r="L37" s="23" t="s">
        <v>181</v>
      </c>
      <c r="M37" s="18"/>
      <c r="N37" s="30" t="str">
        <f aca="true">IF(L37="完成","",IF(D37&lt;TODAY(),"⚠ 已過預定日",IF(D37-TODAY()&lt;=7,"本週到期","")))</f>
        <v/>
      </c>
    </row>
    <row r="38" customFormat="false" ht="33.75" hidden="false" customHeight="true" outlineLevel="0" collapsed="false">
      <c r="A38" s="37" t="s">
        <v>362</v>
      </c>
      <c r="B38" s="38" t="s">
        <v>353</v>
      </c>
      <c r="C38" s="24" t="n">
        <f aca="false">參數與用量計算!$B$19+1</f>
        <v>31</v>
      </c>
      <c r="D38" s="25" t="n">
        <f aca="false">參數與用量計算!$B$4+C38*7</f>
        <v>46527</v>
      </c>
      <c r="E38" s="23" t="s">
        <v>175</v>
      </c>
      <c r="F38" s="5" t="s">
        <v>363</v>
      </c>
      <c r="G38" s="4" t="s">
        <v>364</v>
      </c>
      <c r="H38" s="4" t="s">
        <v>365</v>
      </c>
      <c r="I38" s="23" t="s">
        <v>187</v>
      </c>
      <c r="J38" s="29" t="s">
        <v>366</v>
      </c>
      <c r="K38" s="4"/>
      <c r="L38" s="23" t="s">
        <v>181</v>
      </c>
      <c r="M38" s="18"/>
      <c r="N38" s="30" t="str">
        <f aca="true">IF(L38="完成","",IF(D38&lt;TODAY(),"⚠ 已過預定日",IF(D38-TODAY()&lt;=7,"本週到期","")))</f>
        <v/>
      </c>
    </row>
    <row r="39" customFormat="false" ht="48.75" hidden="false" customHeight="true" outlineLevel="0" collapsed="false">
      <c r="A39" s="37" t="s">
        <v>367</v>
      </c>
      <c r="B39" s="38" t="s">
        <v>353</v>
      </c>
      <c r="C39" s="24" t="n">
        <f aca="false">參數與用量計算!$B$19+1</f>
        <v>31</v>
      </c>
      <c r="D39" s="25" t="n">
        <f aca="false">參數與用量計算!$B$4+C39*7</f>
        <v>46527</v>
      </c>
      <c r="E39" s="23" t="s">
        <v>175</v>
      </c>
      <c r="F39" s="5" t="s">
        <v>368</v>
      </c>
      <c r="G39" s="4" t="s">
        <v>369</v>
      </c>
      <c r="H39" s="4" t="s">
        <v>370</v>
      </c>
      <c r="I39" s="23" t="s">
        <v>328</v>
      </c>
      <c r="J39" s="29" t="s">
        <v>371</v>
      </c>
      <c r="K39" s="4"/>
      <c r="L39" s="23" t="s">
        <v>181</v>
      </c>
      <c r="M39" s="18"/>
      <c r="N39" s="30" t="str">
        <f aca="true">IF(L39="完成","",IF(D39&lt;TODAY(),"⚠ 已過預定日",IF(D39-TODAY()&lt;=7,"本週到期","")))</f>
        <v/>
      </c>
    </row>
  </sheetData>
  <autoFilter ref="A3:N39"/>
  <conditionalFormatting sqref="A4:N39">
    <cfRule type="expression" priority="2" aboveAverage="0" equalAverage="0" bottom="0" percent="0" rank="0" text="" dxfId="10">
      <formula>$L4="完成"</formula>
    </cfRule>
  </conditionalFormatting>
  <dataValidations count="1">
    <dataValidation allowBlank="true" errorStyle="stop" operator="between" showDropDown="false" showErrorMessage="false" showInputMessage="false" sqref="L4:L39" type="list">
      <formula1>"未開始,進行中,完成,暫緩"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1"/>
    <col collapsed="false" customWidth="true" hidden="false" outlineLevel="0" max="4" min="4" style="0" width="15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7" min="7" style="0" width="6"/>
    <col collapsed="false" customWidth="true" hidden="false" outlineLevel="0" max="8" min="8" style="0" width="8"/>
    <col collapsed="false" customWidth="true" hidden="false" outlineLevel="0" max="10" min="9" style="0" width="6"/>
    <col collapsed="false" customWidth="true" hidden="false" outlineLevel="0" max="13" min="11" style="0" width="7"/>
    <col collapsed="false" customWidth="true" hidden="false" outlineLevel="0" max="15" min="14" style="0" width="6"/>
    <col collapsed="false" customWidth="true" hidden="false" outlineLevel="0" max="16" min="16" style="0" width="8"/>
    <col collapsed="false" customWidth="true" hidden="false" outlineLevel="0" max="17" min="17" style="0" width="9"/>
    <col collapsed="false" customWidth="true" hidden="false" outlineLevel="0" max="18" min="18" style="0" width="30"/>
  </cols>
  <sheetData>
    <row r="1" customFormat="false" ht="23.85" hidden="false" customHeight="false" outlineLevel="0" collapsed="false">
      <c r="A1" s="1" t="s">
        <v>372</v>
      </c>
    </row>
    <row r="2" customFormat="false" ht="15" hidden="false" customHeight="false" outlineLevel="0" collapsed="false">
      <c r="A2" s="2" t="s">
        <v>373</v>
      </c>
    </row>
    <row r="3" customFormat="false" ht="30" hidden="false" customHeight="true" outlineLevel="0" collapsed="false">
      <c r="A3" s="7" t="s">
        <v>374</v>
      </c>
      <c r="B3" s="7" t="s">
        <v>375</v>
      </c>
      <c r="C3" s="7" t="s">
        <v>376</v>
      </c>
      <c r="D3" s="7" t="s">
        <v>377</v>
      </c>
      <c r="E3" s="7" t="s">
        <v>378</v>
      </c>
      <c r="F3" s="7" t="s">
        <v>379</v>
      </c>
      <c r="G3" s="7" t="s">
        <v>237</v>
      </c>
      <c r="H3" s="7" t="s">
        <v>380</v>
      </c>
      <c r="I3" s="7" t="s">
        <v>381</v>
      </c>
      <c r="J3" s="7" t="s">
        <v>382</v>
      </c>
      <c r="K3" s="7" t="s">
        <v>292</v>
      </c>
      <c r="L3" s="7" t="s">
        <v>383</v>
      </c>
      <c r="M3" s="7" t="s">
        <v>313</v>
      </c>
      <c r="N3" s="7" t="s">
        <v>325</v>
      </c>
      <c r="O3" s="7" t="s">
        <v>354</v>
      </c>
      <c r="P3" s="7" t="s">
        <v>384</v>
      </c>
      <c r="Q3" s="7" t="s">
        <v>385</v>
      </c>
      <c r="R3" s="7" t="s">
        <v>386</v>
      </c>
    </row>
    <row r="4" customFormat="false" ht="15" hidden="false" customHeight="false" outlineLevel="0" collapsed="false">
      <c r="A4" s="24" t="n">
        <v>-8</v>
      </c>
      <c r="B4" s="39" t="n">
        <f aca="false">參數與用量計算!$B$4+$A4*7</f>
        <v>46254</v>
      </c>
      <c r="C4" s="39" t="n">
        <f aca="false">B4+6</f>
        <v>46260</v>
      </c>
      <c r="D4" s="23" t="str">
        <f aca="false">IF($A4&lt;0,"作前準備",IF($A4&lt;=1,"定植緩苗",IF($A4&lt;參數與用量計算!$B$14,"營養生長",IF($A4&lt;參數與用量計算!$B$18,"開花著果",IF($A4&lt;=參數與用量計算!$B$19,"採收期",IF($A4=參數與用量計算!$B$19+1,"清園","作後休閒"))))))</f>
        <v>作前準備</v>
      </c>
      <c r="E4" s="23" t="str">
        <f aca="false">IF(OR($A4=-MAX(參數與用量計算!$B$13,2),$A4=0),"★","")</f>
        <v/>
      </c>
      <c r="F4" s="23" t="str">
        <f aca="false">IF(OR($A4=-3,$A4=-2),"●","")</f>
        <v/>
      </c>
      <c r="G4" s="23" t="str">
        <f aca="false">IF($A4=0,"★","")</f>
        <v/>
      </c>
      <c r="H4" s="23" t="str">
        <f aca="false">IF(AND($A4&gt;=1,$A4&lt;=參數與用量計算!$B$19-6),"●","")</f>
        <v/>
      </c>
      <c r="I4" s="23" t="str">
        <f aca="false">IF(AND($A4&gt;=參數與用量計算!$B$14,$A4&lt;=參數與用量計算!$B$19-6),"●","")</f>
        <v/>
      </c>
      <c r="J4" s="23" t="str">
        <f aca="false">IF(AND($A4&gt;=參數與用量計算!$B$15,MOD($A4-參數與用量計算!$B$15,參數與用量計算!$B$16)=0,($A4-參數與用量計算!$B$15)/參數與用量計算!$B$16&lt;參數與用量計算!$B$17),"●","")</f>
        <v/>
      </c>
      <c r="K4" s="23" t="str">
        <f aca="false">IF(AND($A4&gt;=參數與用量計算!$B$14,$A4&lt;=參數與用量計算!$B$19-6),"●","")</f>
        <v/>
      </c>
      <c r="L4" s="23" t="str">
        <f aca="false">IF(AND($A4&gt;=-1,$A4&lt;=參數與用量計算!$B$19),"●","")</f>
        <v/>
      </c>
      <c r="M4" s="23" t="str">
        <f aca="false">IF(AND($A4&gt;=參數與用量計算!$B$18,$A4&lt;=參數與用量計算!$B$19),"●","")</f>
        <v/>
      </c>
      <c r="N4" s="23" t="str">
        <f aca="false">IF(AND($A4&gt;=參數與用量計算!$B$18,$A4&lt;=參數與用量計算!$B$19),"●","")</f>
        <v/>
      </c>
      <c r="O4" s="23" t="str">
        <f aca="false">IF($A4=參數與用量計算!$B$19-6,"★","")</f>
        <v/>
      </c>
      <c r="P4" s="23" t="str">
        <f aca="false">IF(OR($A4=參數與用量計算!$B$19+1,$A4=-8),"★","")</f>
        <v>★</v>
      </c>
      <c r="Q4" s="24" t="n">
        <f aca="false">COUNTIF(階段工作清單!$C$4:$C$39,$A4)</f>
        <v>3</v>
      </c>
      <c r="R4" s="4"/>
    </row>
    <row r="5" customFormat="false" ht="15" hidden="false" customHeight="false" outlineLevel="0" collapsed="false">
      <c r="A5" s="24" t="n">
        <v>-7</v>
      </c>
      <c r="B5" s="39" t="n">
        <f aca="false">參數與用量計算!$B$4+$A5*7</f>
        <v>46261</v>
      </c>
      <c r="C5" s="39" t="n">
        <f aca="false">B5+6</f>
        <v>46267</v>
      </c>
      <c r="D5" s="23" t="str">
        <f aca="false">IF($A5&lt;0,"作前準備",IF($A5&lt;=1,"定植緩苗",IF($A5&lt;參數與用量計算!$B$14,"營養生長",IF($A5&lt;參數與用量計算!$B$18,"開花著果",IF($A5&lt;=參數與用量計算!$B$19,"採收期",IF($A5=參數與用量計算!$B$19+1,"清園","作後休閒"))))))</f>
        <v>作前準備</v>
      </c>
      <c r="E5" s="23" t="str">
        <f aca="false">IF(OR($A5=-MAX(參數與用量計算!$B$13,2),$A5=0),"★","")</f>
        <v/>
      </c>
      <c r="F5" s="23" t="str">
        <f aca="false">IF(OR($A5=-3,$A5=-2),"●","")</f>
        <v/>
      </c>
      <c r="G5" s="23" t="str">
        <f aca="false">IF($A5=0,"★","")</f>
        <v/>
      </c>
      <c r="H5" s="23" t="str">
        <f aca="false">IF(AND($A5&gt;=1,$A5&lt;=參數與用量計算!$B$19-6),"●","")</f>
        <v/>
      </c>
      <c r="I5" s="23" t="str">
        <f aca="false">IF(AND($A5&gt;=參數與用量計算!$B$14,$A5&lt;=參數與用量計算!$B$19-6),"●","")</f>
        <v/>
      </c>
      <c r="J5" s="23" t="str">
        <f aca="false">IF(AND($A5&gt;=參數與用量計算!$B$15,MOD($A5-參數與用量計算!$B$15,參數與用量計算!$B$16)=0,($A5-參數與用量計算!$B$15)/參數與用量計算!$B$16&lt;參數與用量計算!$B$17),"●","")</f>
        <v/>
      </c>
      <c r="K5" s="23" t="str">
        <f aca="false">IF(AND($A5&gt;=參數與用量計算!$B$14,$A5&lt;=參數與用量計算!$B$19-6),"●","")</f>
        <v/>
      </c>
      <c r="L5" s="23" t="str">
        <f aca="false">IF(AND($A5&gt;=-1,$A5&lt;=參數與用量計算!$B$19),"●","")</f>
        <v/>
      </c>
      <c r="M5" s="23" t="str">
        <f aca="false">IF(AND($A5&gt;=參數與用量計算!$B$18,$A5&lt;=參數與用量計算!$B$19),"●","")</f>
        <v/>
      </c>
      <c r="N5" s="23" t="str">
        <f aca="false">IF(AND($A5&gt;=參數與用量計算!$B$18,$A5&lt;=參數與用量計算!$B$19),"●","")</f>
        <v/>
      </c>
      <c r="O5" s="23" t="str">
        <f aca="false">IF($A5=參數與用量計算!$B$19-6,"★","")</f>
        <v/>
      </c>
      <c r="P5" s="23" t="str">
        <f aca="false">IF(OR($A5=參數與用量計算!$B$19+1,$A5=-8),"★","")</f>
        <v/>
      </c>
      <c r="Q5" s="24" t="n">
        <f aca="false">COUNTIF(階段工作清單!$C$4:$C$39,$A5)</f>
        <v>1</v>
      </c>
      <c r="R5" s="4"/>
    </row>
    <row r="6" customFormat="false" ht="15" hidden="false" customHeight="false" outlineLevel="0" collapsed="false">
      <c r="A6" s="24" t="n">
        <v>-6</v>
      </c>
      <c r="B6" s="39" t="n">
        <f aca="false">參數與用量計算!$B$4+$A6*7</f>
        <v>46268</v>
      </c>
      <c r="C6" s="39" t="n">
        <f aca="false">B6+6</f>
        <v>46274</v>
      </c>
      <c r="D6" s="23" t="str">
        <f aca="false">IF($A6&lt;0,"作前準備",IF($A6&lt;=1,"定植緩苗",IF($A6&lt;參數與用量計算!$B$14,"營養生長",IF($A6&lt;參數與用量計算!$B$18,"開花著果",IF($A6&lt;=參數與用量計算!$B$19,"採收期",IF($A6=參數與用量計算!$B$19+1,"清園","作後休閒"))))))</f>
        <v>作前準備</v>
      </c>
      <c r="E6" s="23" t="str">
        <f aca="false">IF(OR($A6=-MAX(參數與用量計算!$B$13,2),$A6=0),"★","")</f>
        <v/>
      </c>
      <c r="F6" s="23" t="str">
        <f aca="false">IF(OR($A6=-3,$A6=-2),"●","")</f>
        <v/>
      </c>
      <c r="G6" s="23" t="str">
        <f aca="false">IF($A6=0,"★","")</f>
        <v/>
      </c>
      <c r="H6" s="23" t="str">
        <f aca="false">IF(AND($A6&gt;=1,$A6&lt;=參數與用量計算!$B$19-6),"●","")</f>
        <v/>
      </c>
      <c r="I6" s="23" t="str">
        <f aca="false">IF(AND($A6&gt;=參數與用量計算!$B$14,$A6&lt;=參數與用量計算!$B$19-6),"●","")</f>
        <v/>
      </c>
      <c r="J6" s="23" t="str">
        <f aca="false">IF(AND($A6&gt;=參數與用量計算!$B$15,MOD($A6-參數與用量計算!$B$15,參數與用量計算!$B$16)=0,($A6-參數與用量計算!$B$15)/參數與用量計算!$B$16&lt;參數與用量計算!$B$17),"●","")</f>
        <v/>
      </c>
      <c r="K6" s="23" t="str">
        <f aca="false">IF(AND($A6&gt;=參數與用量計算!$B$14,$A6&lt;=參數與用量計算!$B$19-6),"●","")</f>
        <v/>
      </c>
      <c r="L6" s="23" t="str">
        <f aca="false">IF(AND($A6&gt;=-1,$A6&lt;=參數與用量計算!$B$19),"●","")</f>
        <v/>
      </c>
      <c r="M6" s="23" t="str">
        <f aca="false">IF(AND($A6&gt;=參數與用量計算!$B$18,$A6&lt;=參數與用量計算!$B$19),"●","")</f>
        <v/>
      </c>
      <c r="N6" s="23" t="str">
        <f aca="false">IF(AND($A6&gt;=參數與用量計算!$B$18,$A6&lt;=參數與用量計算!$B$19),"●","")</f>
        <v/>
      </c>
      <c r="O6" s="23" t="str">
        <f aca="false">IF($A6=參數與用量計算!$B$19-6,"★","")</f>
        <v/>
      </c>
      <c r="P6" s="23" t="str">
        <f aca="false">IF(OR($A6=參數與用量計算!$B$19+1,$A6=-8),"★","")</f>
        <v/>
      </c>
      <c r="Q6" s="24" t="n">
        <f aca="false">COUNTIF(階段工作清單!$C$4:$C$39,$A6)</f>
        <v>1</v>
      </c>
      <c r="R6" s="4"/>
    </row>
    <row r="7" customFormat="false" ht="15" hidden="false" customHeight="false" outlineLevel="0" collapsed="false">
      <c r="A7" s="24" t="n">
        <v>-5</v>
      </c>
      <c r="B7" s="39" t="n">
        <f aca="false">參數與用量計算!$B$4+$A7*7</f>
        <v>46275</v>
      </c>
      <c r="C7" s="39" t="n">
        <f aca="false">B7+6</f>
        <v>46281</v>
      </c>
      <c r="D7" s="23" t="str">
        <f aca="false">IF($A7&lt;0,"作前準備",IF($A7&lt;=1,"定植緩苗",IF($A7&lt;參數與用量計算!$B$14,"營養生長",IF($A7&lt;參數與用量計算!$B$18,"開花著果",IF($A7&lt;=參數與用量計算!$B$19,"採收期",IF($A7=參數與用量計算!$B$19+1,"清園","作後休閒"))))))</f>
        <v>作前準備</v>
      </c>
      <c r="E7" s="23" t="str">
        <f aca="false">IF(OR($A7=-MAX(參數與用量計算!$B$13,2),$A7=0),"★","")</f>
        <v/>
      </c>
      <c r="F7" s="23" t="str">
        <f aca="false">IF(OR($A7=-3,$A7=-2),"●","")</f>
        <v/>
      </c>
      <c r="G7" s="23" t="str">
        <f aca="false">IF($A7=0,"★","")</f>
        <v/>
      </c>
      <c r="H7" s="23" t="str">
        <f aca="false">IF(AND($A7&gt;=1,$A7&lt;=參數與用量計算!$B$19-6),"●","")</f>
        <v/>
      </c>
      <c r="I7" s="23" t="str">
        <f aca="false">IF(AND($A7&gt;=參數與用量計算!$B$14,$A7&lt;=參數與用量計算!$B$19-6),"●","")</f>
        <v/>
      </c>
      <c r="J7" s="23" t="str">
        <f aca="false">IF(AND($A7&gt;=參數與用量計算!$B$15,MOD($A7-參數與用量計算!$B$15,參數與用量計算!$B$16)=0,($A7-參數與用量計算!$B$15)/參數與用量計算!$B$16&lt;參數與用量計算!$B$17),"●","")</f>
        <v/>
      </c>
      <c r="K7" s="23" t="str">
        <f aca="false">IF(AND($A7&gt;=參數與用量計算!$B$14,$A7&lt;=參數與用量計算!$B$19-6),"●","")</f>
        <v/>
      </c>
      <c r="L7" s="23" t="str">
        <f aca="false">IF(AND($A7&gt;=-1,$A7&lt;=參數與用量計算!$B$19),"●","")</f>
        <v/>
      </c>
      <c r="M7" s="23" t="str">
        <f aca="false">IF(AND($A7&gt;=參數與用量計算!$B$18,$A7&lt;=參數與用量計算!$B$19),"●","")</f>
        <v/>
      </c>
      <c r="N7" s="23" t="str">
        <f aca="false">IF(AND($A7&gt;=參數與用量計算!$B$18,$A7&lt;=參數與用量計算!$B$19),"●","")</f>
        <v/>
      </c>
      <c r="O7" s="23" t="str">
        <f aca="false">IF($A7=參數與用量計算!$B$19-6,"★","")</f>
        <v/>
      </c>
      <c r="P7" s="23" t="str">
        <f aca="false">IF(OR($A7=參數與用量計算!$B$19+1,$A7=-8),"★","")</f>
        <v/>
      </c>
      <c r="Q7" s="24" t="n">
        <f aca="false">COUNTIF(階段工作清單!$C$4:$C$39,$A7)</f>
        <v>0</v>
      </c>
      <c r="R7" s="4"/>
    </row>
    <row r="8" customFormat="false" ht="15" hidden="false" customHeight="false" outlineLevel="0" collapsed="false">
      <c r="A8" s="24" t="n">
        <v>-4</v>
      </c>
      <c r="B8" s="39" t="n">
        <f aca="false">參數與用量計算!$B$4+$A8*7</f>
        <v>46282</v>
      </c>
      <c r="C8" s="39" t="n">
        <f aca="false">B8+6</f>
        <v>46288</v>
      </c>
      <c r="D8" s="23" t="str">
        <f aca="false">IF($A8&lt;0,"作前準備",IF($A8&lt;=1,"定植緩苗",IF($A8&lt;參數與用量計算!$B$14,"營養生長",IF($A8&lt;參數與用量計算!$B$18,"開花著果",IF($A8&lt;=參數與用量計算!$B$19,"採收期",IF($A8=參數與用量計算!$B$19+1,"清園","作後休閒"))))))</f>
        <v>作前準備</v>
      </c>
      <c r="E8" s="23" t="str">
        <f aca="false">IF(OR($A8=-MAX(參數與用量計算!$B$13,2),$A8=0),"★","")</f>
        <v/>
      </c>
      <c r="F8" s="23" t="str">
        <f aca="false">IF(OR($A8=-3,$A8=-2),"●","")</f>
        <v/>
      </c>
      <c r="G8" s="23" t="str">
        <f aca="false">IF($A8=0,"★","")</f>
        <v/>
      </c>
      <c r="H8" s="23" t="str">
        <f aca="false">IF(AND($A8&gt;=1,$A8&lt;=參數與用量計算!$B$19-6),"●","")</f>
        <v/>
      </c>
      <c r="I8" s="23" t="str">
        <f aca="false">IF(AND($A8&gt;=參數與用量計算!$B$14,$A8&lt;=參數與用量計算!$B$19-6),"●","")</f>
        <v/>
      </c>
      <c r="J8" s="23" t="str">
        <f aca="false">IF(AND($A8&gt;=參數與用量計算!$B$15,MOD($A8-參數與用量計算!$B$15,參數與用量計算!$B$16)=0,($A8-參數與用量計算!$B$15)/參數與用量計算!$B$16&lt;參數與用量計算!$B$17),"●","")</f>
        <v/>
      </c>
      <c r="K8" s="23" t="str">
        <f aca="false">IF(AND($A8&gt;=參數與用量計算!$B$14,$A8&lt;=參數與用量計算!$B$19-6),"●","")</f>
        <v/>
      </c>
      <c r="L8" s="23" t="str">
        <f aca="false">IF(AND($A8&gt;=-1,$A8&lt;=參數與用量計算!$B$19),"●","")</f>
        <v/>
      </c>
      <c r="M8" s="23" t="str">
        <f aca="false">IF(AND($A8&gt;=參數與用量計算!$B$18,$A8&lt;=參數與用量計算!$B$19),"●","")</f>
        <v/>
      </c>
      <c r="N8" s="23" t="str">
        <f aca="false">IF(AND($A8&gt;=參數與用量計算!$B$18,$A8&lt;=參數與用量計算!$B$19),"●","")</f>
        <v/>
      </c>
      <c r="O8" s="23" t="str">
        <f aca="false">IF($A8=參數與用量計算!$B$19-6,"★","")</f>
        <v/>
      </c>
      <c r="P8" s="23" t="str">
        <f aca="false">IF(OR($A8=參數與用量計算!$B$19+1,$A8=-8),"★","")</f>
        <v/>
      </c>
      <c r="Q8" s="24" t="n">
        <f aca="false">COUNTIF(階段工作清單!$C$4:$C$39,$A8)</f>
        <v>0</v>
      </c>
      <c r="R8" s="4"/>
    </row>
    <row r="9" customFormat="false" ht="15" hidden="false" customHeight="false" outlineLevel="0" collapsed="false">
      <c r="A9" s="24" t="n">
        <v>-3</v>
      </c>
      <c r="B9" s="39" t="n">
        <f aca="false">參數與用量計算!$B$4+$A9*7</f>
        <v>46289</v>
      </c>
      <c r="C9" s="39" t="n">
        <f aca="false">B9+6</f>
        <v>46295</v>
      </c>
      <c r="D9" s="23" t="str">
        <f aca="false">IF($A9&lt;0,"作前準備",IF($A9&lt;=1,"定植緩苗",IF($A9&lt;參數與用量計算!$B$14,"營養生長",IF($A9&lt;參數與用量計算!$B$18,"開花著果",IF($A9&lt;=參數與用量計算!$B$19,"採收期",IF($A9=參數與用量計算!$B$19+1,"清園","作後休閒"))))))</f>
        <v>作前準備</v>
      </c>
      <c r="E9" s="23" t="str">
        <f aca="false">IF(OR($A9=-MAX(參數與用量計算!$B$13,2),$A9=0),"★","")</f>
        <v/>
      </c>
      <c r="F9" s="23" t="str">
        <f aca="false">IF(OR($A9=-3,$A9=-2),"●","")</f>
        <v>●</v>
      </c>
      <c r="G9" s="23" t="str">
        <f aca="false">IF($A9=0,"★","")</f>
        <v/>
      </c>
      <c r="H9" s="23" t="str">
        <f aca="false">IF(AND($A9&gt;=1,$A9&lt;=參數與用量計算!$B$19-6),"●","")</f>
        <v/>
      </c>
      <c r="I9" s="23" t="str">
        <f aca="false">IF(AND($A9&gt;=參數與用量計算!$B$14,$A9&lt;=參數與用量計算!$B$19-6),"●","")</f>
        <v/>
      </c>
      <c r="J9" s="23" t="str">
        <f aca="false">IF(AND($A9&gt;=參數與用量計算!$B$15,MOD($A9-參數與用量計算!$B$15,參數與用量計算!$B$16)=0,($A9-參數與用量計算!$B$15)/參數與用量計算!$B$16&lt;參數與用量計算!$B$17),"●","")</f>
        <v/>
      </c>
      <c r="K9" s="23" t="str">
        <f aca="false">IF(AND($A9&gt;=參數與用量計算!$B$14,$A9&lt;=參數與用量計算!$B$19-6),"●","")</f>
        <v/>
      </c>
      <c r="L9" s="23" t="str">
        <f aca="false">IF(AND($A9&gt;=-1,$A9&lt;=參數與用量計算!$B$19),"●","")</f>
        <v/>
      </c>
      <c r="M9" s="23" t="str">
        <f aca="false">IF(AND($A9&gt;=參數與用量計算!$B$18,$A9&lt;=參數與用量計算!$B$19),"●","")</f>
        <v/>
      </c>
      <c r="N9" s="23" t="str">
        <f aca="false">IF(AND($A9&gt;=參數與用量計算!$B$18,$A9&lt;=參數與用量計算!$B$19),"●","")</f>
        <v/>
      </c>
      <c r="O9" s="23" t="str">
        <f aca="false">IF($A9=參數與用量計算!$B$19-6,"★","")</f>
        <v/>
      </c>
      <c r="P9" s="23" t="str">
        <f aca="false">IF(OR($A9=參數與用量計算!$B$19+1,$A9=-8),"★","")</f>
        <v/>
      </c>
      <c r="Q9" s="24" t="n">
        <f aca="false">COUNTIF(階段工作清單!$C$4:$C$39,$A9)</f>
        <v>1</v>
      </c>
      <c r="R9" s="4"/>
    </row>
    <row r="10" customFormat="false" ht="15" hidden="false" customHeight="false" outlineLevel="0" collapsed="false">
      <c r="A10" s="24" t="n">
        <v>-2</v>
      </c>
      <c r="B10" s="39" t="n">
        <f aca="false">參數與用量計算!$B$4+$A10*7</f>
        <v>46296</v>
      </c>
      <c r="C10" s="39" t="n">
        <f aca="false">B10+6</f>
        <v>46302</v>
      </c>
      <c r="D10" s="23" t="str">
        <f aca="false">IF($A10&lt;0,"作前準備",IF($A10&lt;=1,"定植緩苗",IF($A10&lt;參數與用量計算!$B$14,"營養生長",IF($A10&lt;參數與用量計算!$B$18,"開花著果",IF($A10&lt;=參數與用量計算!$B$19,"採收期",IF($A10=參數與用量計算!$B$19+1,"清園","作後休閒"))))))</f>
        <v>作前準備</v>
      </c>
      <c r="E10" s="23" t="str">
        <f aca="false">IF(OR($A10=-MAX(參數與用量計算!$B$13,2),$A10=0),"★","")</f>
        <v>★</v>
      </c>
      <c r="F10" s="23" t="str">
        <f aca="false">IF(OR($A10=-3,$A10=-2),"●","")</f>
        <v>●</v>
      </c>
      <c r="G10" s="23" t="str">
        <f aca="false">IF($A10=0,"★","")</f>
        <v/>
      </c>
      <c r="H10" s="23" t="str">
        <f aca="false">IF(AND($A10&gt;=1,$A10&lt;=參數與用量計算!$B$19-6),"●","")</f>
        <v/>
      </c>
      <c r="I10" s="23" t="str">
        <f aca="false">IF(AND($A10&gt;=參數與用量計算!$B$14,$A10&lt;=參數與用量計算!$B$19-6),"●","")</f>
        <v/>
      </c>
      <c r="J10" s="23" t="str">
        <f aca="false">IF(AND($A10&gt;=參數與用量計算!$B$15,MOD($A10-參數與用量計算!$B$15,參數與用量計算!$B$16)=0,($A10-參數與用量計算!$B$15)/參數與用量計算!$B$16&lt;參數與用量計算!$B$17),"●","")</f>
        <v/>
      </c>
      <c r="K10" s="23" t="str">
        <f aca="false">IF(AND($A10&gt;=參數與用量計算!$B$14,$A10&lt;=參數與用量計算!$B$19-6),"●","")</f>
        <v/>
      </c>
      <c r="L10" s="23" t="str">
        <f aca="false">IF(AND($A10&gt;=-1,$A10&lt;=參數與用量計算!$B$19),"●","")</f>
        <v/>
      </c>
      <c r="M10" s="23" t="str">
        <f aca="false">IF(AND($A10&gt;=參數與用量計算!$B$18,$A10&lt;=參數與用量計算!$B$19),"●","")</f>
        <v/>
      </c>
      <c r="N10" s="23" t="str">
        <f aca="false">IF(AND($A10&gt;=參數與用量計算!$B$18,$A10&lt;=參數與用量計算!$B$19),"●","")</f>
        <v/>
      </c>
      <c r="O10" s="23" t="str">
        <f aca="false">IF($A10=參數與用量計算!$B$19-6,"★","")</f>
        <v/>
      </c>
      <c r="P10" s="23" t="str">
        <f aca="false">IF(OR($A10=參數與用量計算!$B$19+1,$A10=-8),"★","")</f>
        <v/>
      </c>
      <c r="Q10" s="24" t="n">
        <f aca="false">COUNTIF(階段工作清單!$C$4:$C$39,$A10)</f>
        <v>2</v>
      </c>
      <c r="R10" s="4"/>
    </row>
    <row r="11" customFormat="false" ht="15" hidden="false" customHeight="false" outlineLevel="0" collapsed="false">
      <c r="A11" s="24" t="n">
        <v>-1</v>
      </c>
      <c r="B11" s="39" t="n">
        <f aca="false">參數與用量計算!$B$4+$A11*7</f>
        <v>46303</v>
      </c>
      <c r="C11" s="39" t="n">
        <f aca="false">B11+6</f>
        <v>46309</v>
      </c>
      <c r="D11" s="23" t="str">
        <f aca="false">IF($A11&lt;0,"作前準備",IF($A11&lt;=1,"定植緩苗",IF($A11&lt;參數與用量計算!$B$14,"營養生長",IF($A11&lt;參數與用量計算!$B$18,"開花著果",IF($A11&lt;=參數與用量計算!$B$19,"採收期",IF($A11=參數與用量計算!$B$19+1,"清園","作後休閒"))))))</f>
        <v>作前準備</v>
      </c>
      <c r="E11" s="23" t="str">
        <f aca="false">IF(OR($A11=-MAX(參數與用量計算!$B$13,2),$A11=0),"★","")</f>
        <v/>
      </c>
      <c r="F11" s="23" t="str">
        <f aca="false">IF(OR($A11=-3,$A11=-2),"●","")</f>
        <v/>
      </c>
      <c r="G11" s="23" t="str">
        <f aca="false">IF($A11=0,"★","")</f>
        <v/>
      </c>
      <c r="H11" s="23" t="str">
        <f aca="false">IF(AND($A11&gt;=1,$A11&lt;=參數與用量計算!$B$19-6),"●","")</f>
        <v/>
      </c>
      <c r="I11" s="23" t="str">
        <f aca="false">IF(AND($A11&gt;=參數與用量計算!$B$14,$A11&lt;=參數與用量計算!$B$19-6),"●","")</f>
        <v/>
      </c>
      <c r="J11" s="23" t="str">
        <f aca="false">IF(AND($A11&gt;=參數與用量計算!$B$15,MOD($A11-參數與用量計算!$B$15,參數與用量計算!$B$16)=0,($A11-參數與用量計算!$B$15)/參數與用量計算!$B$16&lt;參數與用量計算!$B$17),"●","")</f>
        <v/>
      </c>
      <c r="K11" s="23" t="str">
        <f aca="false">IF(AND($A11&gt;=參數與用量計算!$B$14,$A11&lt;=參數與用量計算!$B$19-6),"●","")</f>
        <v/>
      </c>
      <c r="L11" s="23" t="str">
        <f aca="false">IF(AND($A11&gt;=-1,$A11&lt;=參數與用量計算!$B$19),"●","")</f>
        <v>●</v>
      </c>
      <c r="M11" s="23" t="str">
        <f aca="false">IF(AND($A11&gt;=參數與用量計算!$B$18,$A11&lt;=參數與用量計算!$B$19),"●","")</f>
        <v/>
      </c>
      <c r="N11" s="23" t="str">
        <f aca="false">IF(AND($A11&gt;=參數與用量計算!$B$18,$A11&lt;=參數與用量計算!$B$19),"●","")</f>
        <v/>
      </c>
      <c r="O11" s="23" t="str">
        <f aca="false">IF($A11=參數與用量計算!$B$19-6,"★","")</f>
        <v/>
      </c>
      <c r="P11" s="23" t="str">
        <f aca="false">IF(OR($A11=參數與用量計算!$B$19+1,$A11=-8),"★","")</f>
        <v/>
      </c>
      <c r="Q11" s="24" t="n">
        <f aca="false">COUNTIF(階段工作清單!$C$4:$C$39,$A11)</f>
        <v>2</v>
      </c>
      <c r="R11" s="4"/>
    </row>
    <row r="12" customFormat="false" ht="15" hidden="false" customHeight="false" outlineLevel="0" collapsed="false">
      <c r="A12" s="24" t="n">
        <v>0</v>
      </c>
      <c r="B12" s="39" t="n">
        <f aca="false">參數與用量計算!$B$4+$A12*7</f>
        <v>46310</v>
      </c>
      <c r="C12" s="39" t="n">
        <f aca="false">B12+6</f>
        <v>46316</v>
      </c>
      <c r="D12" s="23" t="str">
        <f aca="false">IF($A12&lt;0,"作前準備",IF($A12&lt;=1,"定植緩苗",IF($A12&lt;參數與用量計算!$B$14,"營養生長",IF($A12&lt;參數與用量計算!$B$18,"開花著果",IF($A12&lt;=參數與用量計算!$B$19,"採收期",IF($A12=參數與用量計算!$B$19+1,"清園","作後休閒"))))))</f>
        <v>定植緩苗</v>
      </c>
      <c r="E12" s="23" t="str">
        <f aca="false">IF(OR($A12=-MAX(參數與用量計算!$B$13,2),$A12=0),"★","")</f>
        <v>★</v>
      </c>
      <c r="F12" s="23" t="str">
        <f aca="false">IF(OR($A12=-3,$A12=-2),"●","")</f>
        <v/>
      </c>
      <c r="G12" s="23" t="str">
        <f aca="false">IF($A12=0,"★","")</f>
        <v>★</v>
      </c>
      <c r="H12" s="23" t="str">
        <f aca="false">IF(AND($A12&gt;=1,$A12&lt;=參數與用量計算!$B$19-6),"●","")</f>
        <v/>
      </c>
      <c r="I12" s="23" t="str">
        <f aca="false">IF(AND($A12&gt;=參數與用量計算!$B$14,$A12&lt;=參數與用量計算!$B$19-6),"●","")</f>
        <v/>
      </c>
      <c r="J12" s="23" t="str">
        <f aca="false">IF(AND($A12&gt;=參數與用量計算!$B$15,MOD($A12-參數與用量計算!$B$15,參數與用量計算!$B$16)=0,($A12-參數與用量計算!$B$15)/參數與用量計算!$B$16&lt;參數與用量計算!$B$17),"●","")</f>
        <v/>
      </c>
      <c r="K12" s="23" t="str">
        <f aca="false">IF(AND($A12&gt;=參數與用量計算!$B$14,$A12&lt;=參數與用量計算!$B$19-6),"●","")</f>
        <v/>
      </c>
      <c r="L12" s="23" t="str">
        <f aca="false">IF(AND($A12&gt;=-1,$A12&lt;=參數與用量計算!$B$19),"●","")</f>
        <v>●</v>
      </c>
      <c r="M12" s="23" t="str">
        <f aca="false">IF(AND($A12&gt;=參數與用量計算!$B$18,$A12&lt;=參數與用量計算!$B$19),"●","")</f>
        <v/>
      </c>
      <c r="N12" s="23" t="str">
        <f aca="false">IF(AND($A12&gt;=參數與用量計算!$B$18,$A12&lt;=參數與用量計算!$B$19),"●","")</f>
        <v/>
      </c>
      <c r="O12" s="23" t="str">
        <f aca="false">IF($A12=參數與用量計算!$B$19-6,"★","")</f>
        <v/>
      </c>
      <c r="P12" s="23" t="str">
        <f aca="false">IF(OR($A12=參數與用量計算!$B$19+1,$A12=-8),"★","")</f>
        <v/>
      </c>
      <c r="Q12" s="24" t="n">
        <f aca="false">COUNTIF(階段工作清單!$C$4:$C$39,$A12)</f>
        <v>3</v>
      </c>
      <c r="R12" s="4"/>
    </row>
    <row r="13" customFormat="false" ht="15" hidden="false" customHeight="false" outlineLevel="0" collapsed="false">
      <c r="A13" s="24" t="n">
        <v>1</v>
      </c>
      <c r="B13" s="39" t="n">
        <f aca="false">參數與用量計算!$B$4+$A13*7</f>
        <v>46317</v>
      </c>
      <c r="C13" s="39" t="n">
        <f aca="false">B13+6</f>
        <v>46323</v>
      </c>
      <c r="D13" s="23" t="str">
        <f aca="false">IF($A13&lt;0,"作前準備",IF($A13&lt;=1,"定植緩苗",IF($A13&lt;參數與用量計算!$B$14,"營養生長",IF($A13&lt;參數與用量計算!$B$18,"開花著果",IF($A13&lt;=參數與用量計算!$B$19,"採收期",IF($A13=參數與用量計算!$B$19+1,"清園","作後休閒"))))))</f>
        <v>定植緩苗</v>
      </c>
      <c r="E13" s="23" t="str">
        <f aca="false">IF(OR($A13=-MAX(參數與用量計算!$B$13,2),$A13=0),"★","")</f>
        <v/>
      </c>
      <c r="F13" s="23" t="str">
        <f aca="false">IF(OR($A13=-3,$A13=-2),"●","")</f>
        <v/>
      </c>
      <c r="G13" s="23" t="str">
        <f aca="false">IF($A13=0,"★","")</f>
        <v/>
      </c>
      <c r="H13" s="23" t="str">
        <f aca="false">IF(AND($A13&gt;=1,$A13&lt;=參數與用量計算!$B$19-6),"●","")</f>
        <v>●</v>
      </c>
      <c r="I13" s="23" t="str">
        <f aca="false">IF(AND($A13&gt;=參數與用量計算!$B$14,$A13&lt;=參數與用量計算!$B$19-6),"●","")</f>
        <v/>
      </c>
      <c r="J13" s="23" t="str">
        <f aca="false">IF(AND($A13&gt;=參數與用量計算!$B$15,MOD($A13-參數與用量計算!$B$15,參數與用量計算!$B$16)=0,($A13-參數與用量計算!$B$15)/參數與用量計算!$B$16&lt;參數與用量計算!$B$17),"●","")</f>
        <v/>
      </c>
      <c r="K13" s="23" t="str">
        <f aca="false">IF(AND($A13&gt;=參數與用量計算!$B$14,$A13&lt;=參數與用量計算!$B$19-6),"●","")</f>
        <v/>
      </c>
      <c r="L13" s="23" t="str">
        <f aca="false">IF(AND($A13&gt;=-1,$A13&lt;=參數與用量計算!$B$19),"●","")</f>
        <v>●</v>
      </c>
      <c r="M13" s="23" t="str">
        <f aca="false">IF(AND($A13&gt;=參數與用量計算!$B$18,$A13&lt;=參數與用量計算!$B$19),"●","")</f>
        <v/>
      </c>
      <c r="N13" s="23" t="str">
        <f aca="false">IF(AND($A13&gt;=參數與用量計算!$B$18,$A13&lt;=參數與用量計算!$B$19),"●","")</f>
        <v/>
      </c>
      <c r="O13" s="23" t="str">
        <f aca="false">IF($A13=參數與用量計算!$B$19-6,"★","")</f>
        <v/>
      </c>
      <c r="P13" s="23" t="str">
        <f aca="false">IF(OR($A13=參數與用量計算!$B$19+1,$A13=-8),"★","")</f>
        <v/>
      </c>
      <c r="Q13" s="24" t="n">
        <f aca="false">COUNTIF(階段工作清單!$C$4:$C$39,$A13)</f>
        <v>2</v>
      </c>
      <c r="R13" s="4"/>
    </row>
    <row r="14" customFormat="false" ht="15" hidden="false" customHeight="false" outlineLevel="0" collapsed="false">
      <c r="A14" s="24" t="n">
        <v>2</v>
      </c>
      <c r="B14" s="39" t="n">
        <f aca="false">參數與用量計算!$B$4+$A14*7</f>
        <v>46324</v>
      </c>
      <c r="C14" s="39" t="n">
        <f aca="false">B14+6</f>
        <v>46330</v>
      </c>
      <c r="D14" s="23" t="str">
        <f aca="false">IF($A14&lt;0,"作前準備",IF($A14&lt;=1,"定植緩苗",IF($A14&lt;參數與用量計算!$B$14,"營養生長",IF($A14&lt;參數與用量計算!$B$18,"開花著果",IF($A14&lt;=參數與用量計算!$B$19,"採收期",IF($A14=參數與用量計算!$B$19+1,"清園","作後休閒"))))))</f>
        <v>營養生長</v>
      </c>
      <c r="E14" s="23" t="str">
        <f aca="false">IF(OR($A14=-MAX(參數與用量計算!$B$13,2),$A14=0),"★","")</f>
        <v/>
      </c>
      <c r="F14" s="23" t="str">
        <f aca="false">IF(OR($A14=-3,$A14=-2),"●","")</f>
        <v/>
      </c>
      <c r="G14" s="23" t="str">
        <f aca="false">IF($A14=0,"★","")</f>
        <v/>
      </c>
      <c r="H14" s="23" t="str">
        <f aca="false">IF(AND($A14&gt;=1,$A14&lt;=參數與用量計算!$B$19-6),"●","")</f>
        <v>●</v>
      </c>
      <c r="I14" s="23" t="str">
        <f aca="false">IF(AND($A14&gt;=參數與用量計算!$B$14,$A14&lt;=參數與用量計算!$B$19-6),"●","")</f>
        <v/>
      </c>
      <c r="J14" s="23" t="str">
        <f aca="false">IF(AND($A14&gt;=參數與用量計算!$B$15,MOD($A14-參數與用量計算!$B$15,參數與用量計算!$B$16)=0,($A14-參數與用量計算!$B$15)/參數與用量計算!$B$16&lt;參數與用量計算!$B$17),"●","")</f>
        <v/>
      </c>
      <c r="K14" s="23" t="str">
        <f aca="false">IF(AND($A14&gt;=參數與用量計算!$B$14,$A14&lt;=參數與用量計算!$B$19-6),"●","")</f>
        <v/>
      </c>
      <c r="L14" s="23" t="str">
        <f aca="false">IF(AND($A14&gt;=-1,$A14&lt;=參數與用量計算!$B$19),"●","")</f>
        <v>●</v>
      </c>
      <c r="M14" s="23" t="str">
        <f aca="false">IF(AND($A14&gt;=參數與用量計算!$B$18,$A14&lt;=參數與用量計算!$B$19),"●","")</f>
        <v/>
      </c>
      <c r="N14" s="23" t="str">
        <f aca="false">IF(AND($A14&gt;=參數與用量計算!$B$18,$A14&lt;=參數與用量計算!$B$19),"●","")</f>
        <v/>
      </c>
      <c r="O14" s="23" t="str">
        <f aca="false">IF($A14=參數與用量計算!$B$19-6,"★","")</f>
        <v/>
      </c>
      <c r="P14" s="23" t="str">
        <f aca="false">IF(OR($A14=參數與用量計算!$B$19+1,$A14=-8),"★","")</f>
        <v/>
      </c>
      <c r="Q14" s="24" t="n">
        <f aca="false">COUNTIF(階段工作清單!$C$4:$C$39,$A14)</f>
        <v>2</v>
      </c>
      <c r="R14" s="4"/>
    </row>
    <row r="15" customFormat="false" ht="15" hidden="false" customHeight="false" outlineLevel="0" collapsed="false">
      <c r="A15" s="24" t="n">
        <v>3</v>
      </c>
      <c r="B15" s="39" t="n">
        <f aca="false">參數與用量計算!$B$4+$A15*7</f>
        <v>46331</v>
      </c>
      <c r="C15" s="39" t="n">
        <f aca="false">B15+6</f>
        <v>46337</v>
      </c>
      <c r="D15" s="23" t="str">
        <f aca="false">IF($A15&lt;0,"作前準備",IF($A15&lt;=1,"定植緩苗",IF($A15&lt;參數與用量計算!$B$14,"營養生長",IF($A15&lt;參數與用量計算!$B$18,"開花著果",IF($A15&lt;=參數與用量計算!$B$19,"採收期",IF($A15=參數與用量計算!$B$19+1,"清園","作後休閒"))))))</f>
        <v>開花著果</v>
      </c>
      <c r="E15" s="23" t="str">
        <f aca="false">IF(OR($A15=-MAX(參數與用量計算!$B$13,2),$A15=0),"★","")</f>
        <v/>
      </c>
      <c r="F15" s="23" t="str">
        <f aca="false">IF(OR($A15=-3,$A15=-2),"●","")</f>
        <v/>
      </c>
      <c r="G15" s="23" t="str">
        <f aca="false">IF($A15=0,"★","")</f>
        <v/>
      </c>
      <c r="H15" s="23" t="str">
        <f aca="false">IF(AND($A15&gt;=1,$A15&lt;=參數與用量計算!$B$19-6),"●","")</f>
        <v>●</v>
      </c>
      <c r="I15" s="23" t="str">
        <f aca="false">IF(AND($A15&gt;=參數與用量計算!$B$14,$A15&lt;=參數與用量計算!$B$19-6),"●","")</f>
        <v>●</v>
      </c>
      <c r="J15" s="23" t="str">
        <f aca="false">IF(AND($A15&gt;=參數與用量計算!$B$15,MOD($A15-參數與用量計算!$B$15,參數與用量計算!$B$16)=0,($A15-參數與用量計算!$B$15)/參數與用量計算!$B$16&lt;參數與用量計算!$B$17),"●","")</f>
        <v/>
      </c>
      <c r="K15" s="23" t="str">
        <f aca="false">IF(AND($A15&gt;=參數與用量計算!$B$14,$A15&lt;=參數與用量計算!$B$19-6),"●","")</f>
        <v>●</v>
      </c>
      <c r="L15" s="23" t="str">
        <f aca="false">IF(AND($A15&gt;=-1,$A15&lt;=參數與用量計算!$B$19),"●","")</f>
        <v>●</v>
      </c>
      <c r="M15" s="23" t="str">
        <f aca="false">IF(AND($A15&gt;=參數與用量計算!$B$18,$A15&lt;=參數與用量計算!$B$19),"●","")</f>
        <v/>
      </c>
      <c r="N15" s="23" t="str">
        <f aca="false">IF(AND($A15&gt;=參數與用量計算!$B$18,$A15&lt;=參數與用量計算!$B$19),"●","")</f>
        <v/>
      </c>
      <c r="O15" s="23" t="str">
        <f aca="false">IF($A15=參數與用量計算!$B$19-6,"★","")</f>
        <v/>
      </c>
      <c r="P15" s="23" t="str">
        <f aca="false">IF(OR($A15=參數與用量計算!$B$19+1,$A15=-8),"★","")</f>
        <v/>
      </c>
      <c r="Q15" s="24" t="n">
        <f aca="false">COUNTIF(階段工作清單!$C$4:$C$39,$A15)</f>
        <v>5</v>
      </c>
      <c r="R15" s="4"/>
    </row>
    <row r="16" customFormat="false" ht="15" hidden="false" customHeight="false" outlineLevel="0" collapsed="false">
      <c r="A16" s="24" t="n">
        <v>4</v>
      </c>
      <c r="B16" s="39" t="n">
        <f aca="false">參數與用量計算!$B$4+$A16*7</f>
        <v>46338</v>
      </c>
      <c r="C16" s="39" t="n">
        <f aca="false">B16+6</f>
        <v>46344</v>
      </c>
      <c r="D16" s="23" t="str">
        <f aca="false">IF($A16&lt;0,"作前準備",IF($A16&lt;=1,"定植緩苗",IF($A16&lt;參數與用量計算!$B$14,"營養生長",IF($A16&lt;參數與用量計算!$B$18,"開花著果",IF($A16&lt;=參數與用量計算!$B$19,"採收期",IF($A16=參數與用量計算!$B$19+1,"清園","作後休閒"))))))</f>
        <v>開花著果</v>
      </c>
      <c r="E16" s="23" t="str">
        <f aca="false">IF(OR($A16=-MAX(參數與用量計算!$B$13,2),$A16=0),"★","")</f>
        <v/>
      </c>
      <c r="F16" s="23" t="str">
        <f aca="false">IF(OR($A16=-3,$A16=-2),"●","")</f>
        <v/>
      </c>
      <c r="G16" s="23" t="str">
        <f aca="false">IF($A16=0,"★","")</f>
        <v/>
      </c>
      <c r="H16" s="23" t="str">
        <f aca="false">IF(AND($A16&gt;=1,$A16&lt;=參數與用量計算!$B$19-6),"●","")</f>
        <v>●</v>
      </c>
      <c r="I16" s="23" t="str">
        <f aca="false">IF(AND($A16&gt;=參數與用量計算!$B$14,$A16&lt;=參數與用量計算!$B$19-6),"●","")</f>
        <v>●</v>
      </c>
      <c r="J16" s="23" t="str">
        <f aca="false">IF(AND($A16&gt;=參數與用量計算!$B$15,MOD($A16-參數與用量計算!$B$15,參數與用量計算!$B$16)=0,($A16-參數與用量計算!$B$15)/參數與用量計算!$B$16&lt;參數與用量計算!$B$17),"●","")</f>
        <v>●</v>
      </c>
      <c r="K16" s="23" t="str">
        <f aca="false">IF(AND($A16&gt;=參數與用量計算!$B$14,$A16&lt;=參數與用量計算!$B$19-6),"●","")</f>
        <v>●</v>
      </c>
      <c r="L16" s="23" t="str">
        <f aca="false">IF(AND($A16&gt;=-1,$A16&lt;=參數與用量計算!$B$19),"●","")</f>
        <v>●</v>
      </c>
      <c r="M16" s="23" t="str">
        <f aca="false">IF(AND($A16&gt;=參數與用量計算!$B$18,$A16&lt;=參數與用量計算!$B$19),"●","")</f>
        <v/>
      </c>
      <c r="N16" s="23" t="str">
        <f aca="false">IF(AND($A16&gt;=參數與用量計算!$B$18,$A16&lt;=參數與用量計算!$B$19),"●","")</f>
        <v/>
      </c>
      <c r="O16" s="23" t="str">
        <f aca="false">IF($A16=參數與用量計算!$B$19-6,"★","")</f>
        <v/>
      </c>
      <c r="P16" s="23" t="str">
        <f aca="false">IF(OR($A16=參數與用量計算!$B$19+1,$A16=-8),"★","")</f>
        <v/>
      </c>
      <c r="Q16" s="24" t="n">
        <f aca="false">COUNTIF(階段工作清單!$C$4:$C$39,$A16)</f>
        <v>1</v>
      </c>
      <c r="R16" s="4"/>
    </row>
    <row r="17" customFormat="false" ht="15" hidden="false" customHeight="false" outlineLevel="0" collapsed="false">
      <c r="A17" s="24" t="n">
        <v>5</v>
      </c>
      <c r="B17" s="39" t="n">
        <f aca="false">參數與用量計算!$B$4+$A17*7</f>
        <v>46345</v>
      </c>
      <c r="C17" s="39" t="n">
        <f aca="false">B17+6</f>
        <v>46351</v>
      </c>
      <c r="D17" s="23" t="str">
        <f aca="false">IF($A17&lt;0,"作前準備",IF($A17&lt;=1,"定植緩苗",IF($A17&lt;參數與用量計算!$B$14,"營養生長",IF($A17&lt;參數與用量計算!$B$18,"開花著果",IF($A17&lt;=參數與用量計算!$B$19,"採收期",IF($A17=參數與用量計算!$B$19+1,"清園","作後休閒"))))))</f>
        <v>開花著果</v>
      </c>
      <c r="E17" s="23" t="str">
        <f aca="false">IF(OR($A17=-MAX(參數與用量計算!$B$13,2),$A17=0),"★","")</f>
        <v/>
      </c>
      <c r="F17" s="23" t="str">
        <f aca="false">IF(OR($A17=-3,$A17=-2),"●","")</f>
        <v/>
      </c>
      <c r="G17" s="23" t="str">
        <f aca="false">IF($A17=0,"★","")</f>
        <v/>
      </c>
      <c r="H17" s="23" t="str">
        <f aca="false">IF(AND($A17&gt;=1,$A17&lt;=參數與用量計算!$B$19-6),"●","")</f>
        <v>●</v>
      </c>
      <c r="I17" s="23" t="str">
        <f aca="false">IF(AND($A17&gt;=參數與用量計算!$B$14,$A17&lt;=參數與用量計算!$B$19-6),"●","")</f>
        <v>●</v>
      </c>
      <c r="J17" s="23" t="str">
        <f aca="false">IF(AND($A17&gt;=參數與用量計算!$B$15,MOD($A17-參數與用量計算!$B$15,參數與用量計算!$B$16)=0,($A17-參數與用量計算!$B$15)/參數與用量計算!$B$16&lt;參數與用量計算!$B$17),"●","")</f>
        <v/>
      </c>
      <c r="K17" s="23" t="str">
        <f aca="false">IF(AND($A17&gt;=參數與用量計算!$B$14,$A17&lt;=參數與用量計算!$B$19-6),"●","")</f>
        <v>●</v>
      </c>
      <c r="L17" s="23" t="str">
        <f aca="false">IF(AND($A17&gt;=-1,$A17&lt;=參數與用量計算!$B$19),"●","")</f>
        <v>●</v>
      </c>
      <c r="M17" s="23" t="str">
        <f aca="false">IF(AND($A17&gt;=參數與用量計算!$B$18,$A17&lt;=參數與用量計算!$B$19),"●","")</f>
        <v/>
      </c>
      <c r="N17" s="23" t="str">
        <f aca="false">IF(AND($A17&gt;=參數與用量計算!$B$18,$A17&lt;=參數與用量計算!$B$19),"●","")</f>
        <v/>
      </c>
      <c r="O17" s="23" t="str">
        <f aca="false">IF($A17=參數與用量計算!$B$19-6,"★","")</f>
        <v/>
      </c>
      <c r="P17" s="23" t="str">
        <f aca="false">IF(OR($A17=參數與用量計算!$B$19+1,$A17=-8),"★","")</f>
        <v/>
      </c>
      <c r="Q17" s="24" t="n">
        <f aca="false">COUNTIF(階段工作清單!$C$4:$C$39,$A17)</f>
        <v>0</v>
      </c>
      <c r="R17" s="4"/>
    </row>
    <row r="18" customFormat="false" ht="15" hidden="false" customHeight="false" outlineLevel="0" collapsed="false">
      <c r="A18" s="24" t="n">
        <v>6</v>
      </c>
      <c r="B18" s="39" t="n">
        <f aca="false">參數與用量計算!$B$4+$A18*7</f>
        <v>46352</v>
      </c>
      <c r="C18" s="39" t="n">
        <f aca="false">B18+6</f>
        <v>46358</v>
      </c>
      <c r="D18" s="23" t="str">
        <f aca="false">IF($A18&lt;0,"作前準備",IF($A18&lt;=1,"定植緩苗",IF($A18&lt;參數與用量計算!$B$14,"營養生長",IF($A18&lt;參數與用量計算!$B$18,"開花著果",IF($A18&lt;=參數與用量計算!$B$19,"採收期",IF($A18=參數與用量計算!$B$19+1,"清園","作後休閒"))))))</f>
        <v>開花著果</v>
      </c>
      <c r="E18" s="23" t="str">
        <f aca="false">IF(OR($A18=-MAX(參數與用量計算!$B$13,2),$A18=0),"★","")</f>
        <v/>
      </c>
      <c r="F18" s="23" t="str">
        <f aca="false">IF(OR($A18=-3,$A18=-2),"●","")</f>
        <v/>
      </c>
      <c r="G18" s="23" t="str">
        <f aca="false">IF($A18=0,"★","")</f>
        <v/>
      </c>
      <c r="H18" s="23" t="str">
        <f aca="false">IF(AND($A18&gt;=1,$A18&lt;=參數與用量計算!$B$19-6),"●","")</f>
        <v>●</v>
      </c>
      <c r="I18" s="23" t="str">
        <f aca="false">IF(AND($A18&gt;=參數與用量計算!$B$14,$A18&lt;=參數與用量計算!$B$19-6),"●","")</f>
        <v>●</v>
      </c>
      <c r="J18" s="23" t="str">
        <f aca="false">IF(AND($A18&gt;=參數與用量計算!$B$15,MOD($A18-參數與用量計算!$B$15,參數與用量計算!$B$16)=0,($A18-參數與用量計算!$B$15)/參數與用量計算!$B$16&lt;參數與用量計算!$B$17),"●","")</f>
        <v/>
      </c>
      <c r="K18" s="23" t="str">
        <f aca="false">IF(AND($A18&gt;=參數與用量計算!$B$14,$A18&lt;=參數與用量計算!$B$19-6),"●","")</f>
        <v>●</v>
      </c>
      <c r="L18" s="23" t="str">
        <f aca="false">IF(AND($A18&gt;=-1,$A18&lt;=參數與用量計算!$B$19),"●","")</f>
        <v>●</v>
      </c>
      <c r="M18" s="23" t="str">
        <f aca="false">IF(AND($A18&gt;=參數與用量計算!$B$18,$A18&lt;=參數與用量計算!$B$19),"●","")</f>
        <v/>
      </c>
      <c r="N18" s="23" t="str">
        <f aca="false">IF(AND($A18&gt;=參數與用量計算!$B$18,$A18&lt;=參數與用量計算!$B$19),"●","")</f>
        <v/>
      </c>
      <c r="O18" s="23" t="str">
        <f aca="false">IF($A18=參數與用量計算!$B$19-6,"★","")</f>
        <v/>
      </c>
      <c r="P18" s="23" t="str">
        <f aca="false">IF(OR($A18=參數與用量計算!$B$19+1,$A18=-8),"★","")</f>
        <v/>
      </c>
      <c r="Q18" s="24" t="n">
        <f aca="false">COUNTIF(階段工作清單!$C$4:$C$39,$A18)</f>
        <v>1</v>
      </c>
      <c r="R18" s="4"/>
    </row>
    <row r="19" customFormat="false" ht="15" hidden="false" customHeight="false" outlineLevel="0" collapsed="false">
      <c r="A19" s="24" t="n">
        <v>7</v>
      </c>
      <c r="B19" s="39" t="n">
        <f aca="false">參數與用量計算!$B$4+$A19*7</f>
        <v>46359</v>
      </c>
      <c r="C19" s="39" t="n">
        <f aca="false">B19+6</f>
        <v>46365</v>
      </c>
      <c r="D19" s="23" t="str">
        <f aca="false">IF($A19&lt;0,"作前準備",IF($A19&lt;=1,"定植緩苗",IF($A19&lt;參數與用量計算!$B$14,"營養生長",IF($A19&lt;參數與用量計算!$B$18,"開花著果",IF($A19&lt;=參數與用量計算!$B$19,"採收期",IF($A19=參數與用量計算!$B$19+1,"清園","作後休閒"))))))</f>
        <v>開花著果</v>
      </c>
      <c r="E19" s="23" t="str">
        <f aca="false">IF(OR($A19=-MAX(參數與用量計算!$B$13,2),$A19=0),"★","")</f>
        <v/>
      </c>
      <c r="F19" s="23" t="str">
        <f aca="false">IF(OR($A19=-3,$A19=-2),"●","")</f>
        <v/>
      </c>
      <c r="G19" s="23" t="str">
        <f aca="false">IF($A19=0,"★","")</f>
        <v/>
      </c>
      <c r="H19" s="23" t="str">
        <f aca="false">IF(AND($A19&gt;=1,$A19&lt;=參數與用量計算!$B$19-6),"●","")</f>
        <v>●</v>
      </c>
      <c r="I19" s="23" t="str">
        <f aca="false">IF(AND($A19&gt;=參數與用量計算!$B$14,$A19&lt;=參數與用量計算!$B$19-6),"●","")</f>
        <v>●</v>
      </c>
      <c r="J19" s="23" t="str">
        <f aca="false">IF(AND($A19&gt;=參數與用量計算!$B$15,MOD($A19-參數與用量計算!$B$15,參數與用量計算!$B$16)=0,($A19-參數與用量計算!$B$15)/參數與用量計算!$B$16&lt;參數與用量計算!$B$17),"●","")</f>
        <v>●</v>
      </c>
      <c r="K19" s="23" t="str">
        <f aca="false">IF(AND($A19&gt;=參數與用量計算!$B$14,$A19&lt;=參數與用量計算!$B$19-6),"●","")</f>
        <v>●</v>
      </c>
      <c r="L19" s="23" t="str">
        <f aca="false">IF(AND($A19&gt;=-1,$A19&lt;=參數與用量計算!$B$19),"●","")</f>
        <v>●</v>
      </c>
      <c r="M19" s="23" t="str">
        <f aca="false">IF(AND($A19&gt;=參數與用量計算!$B$18,$A19&lt;=參數與用量計算!$B$19),"●","")</f>
        <v/>
      </c>
      <c r="N19" s="23" t="str">
        <f aca="false">IF(AND($A19&gt;=參數與用量計算!$B$18,$A19&lt;=參數與用量計算!$B$19),"●","")</f>
        <v/>
      </c>
      <c r="O19" s="23" t="str">
        <f aca="false">IF($A19=參數與用量計算!$B$19-6,"★","")</f>
        <v/>
      </c>
      <c r="P19" s="23" t="str">
        <f aca="false">IF(OR($A19=參數與用量計算!$B$19+1,$A19=-8),"★","")</f>
        <v/>
      </c>
      <c r="Q19" s="24" t="n">
        <f aca="false">COUNTIF(階段工作清單!$C$4:$C$39,$A19)</f>
        <v>0</v>
      </c>
      <c r="R19" s="4"/>
    </row>
    <row r="20" customFormat="false" ht="15" hidden="false" customHeight="false" outlineLevel="0" collapsed="false">
      <c r="A20" s="24" t="n">
        <v>8</v>
      </c>
      <c r="B20" s="39" t="n">
        <f aca="false">參數與用量計算!$B$4+$A20*7</f>
        <v>46366</v>
      </c>
      <c r="C20" s="39" t="n">
        <f aca="false">B20+6</f>
        <v>46372</v>
      </c>
      <c r="D20" s="23" t="str">
        <f aca="false">IF($A20&lt;0,"作前準備",IF($A20&lt;=1,"定植緩苗",IF($A20&lt;參數與用量計算!$B$14,"營養生長",IF($A20&lt;參數與用量計算!$B$18,"開花著果",IF($A20&lt;=參數與用量計算!$B$19,"採收期",IF($A20=參數與用量計算!$B$19+1,"清園","作後休閒"))))))</f>
        <v>開花著果</v>
      </c>
      <c r="E20" s="23" t="str">
        <f aca="false">IF(OR($A20=-MAX(參數與用量計算!$B$13,2),$A20=0),"★","")</f>
        <v/>
      </c>
      <c r="F20" s="23" t="str">
        <f aca="false">IF(OR($A20=-3,$A20=-2),"●","")</f>
        <v/>
      </c>
      <c r="G20" s="23" t="str">
        <f aca="false">IF($A20=0,"★","")</f>
        <v/>
      </c>
      <c r="H20" s="23" t="str">
        <f aca="false">IF(AND($A20&gt;=1,$A20&lt;=參數與用量計算!$B$19-6),"●","")</f>
        <v>●</v>
      </c>
      <c r="I20" s="23" t="str">
        <f aca="false">IF(AND($A20&gt;=參數與用量計算!$B$14,$A20&lt;=參數與用量計算!$B$19-6),"●","")</f>
        <v>●</v>
      </c>
      <c r="J20" s="23" t="str">
        <f aca="false">IF(AND($A20&gt;=參數與用量計算!$B$15,MOD($A20-參數與用量計算!$B$15,參數與用量計算!$B$16)=0,($A20-參數與用量計算!$B$15)/參數與用量計算!$B$16&lt;參數與用量計算!$B$17),"●","")</f>
        <v/>
      </c>
      <c r="K20" s="23" t="str">
        <f aca="false">IF(AND($A20&gt;=參數與用量計算!$B$14,$A20&lt;=參數與用量計算!$B$19-6),"●","")</f>
        <v>●</v>
      </c>
      <c r="L20" s="23" t="str">
        <f aca="false">IF(AND($A20&gt;=-1,$A20&lt;=參數與用量計算!$B$19),"●","")</f>
        <v>●</v>
      </c>
      <c r="M20" s="23" t="str">
        <f aca="false">IF(AND($A20&gt;=參數與用量計算!$B$18,$A20&lt;=參數與用量計算!$B$19),"●","")</f>
        <v/>
      </c>
      <c r="N20" s="23" t="str">
        <f aca="false">IF(AND($A20&gt;=參數與用量計算!$B$18,$A20&lt;=參數與用量計算!$B$19),"●","")</f>
        <v/>
      </c>
      <c r="O20" s="23" t="str">
        <f aca="false">IF($A20=參數與用量計算!$B$19-6,"★","")</f>
        <v/>
      </c>
      <c r="P20" s="23" t="str">
        <f aca="false">IF(OR($A20=參數與用量計算!$B$19+1,$A20=-8),"★","")</f>
        <v/>
      </c>
      <c r="Q20" s="24" t="n">
        <f aca="false">COUNTIF(階段工作清單!$C$4:$C$39,$A20)</f>
        <v>0</v>
      </c>
      <c r="R20" s="4"/>
    </row>
    <row r="21" customFormat="false" ht="15" hidden="false" customHeight="false" outlineLevel="0" collapsed="false">
      <c r="A21" s="24" t="n">
        <v>9</v>
      </c>
      <c r="B21" s="39" t="n">
        <f aca="false">參數與用量計算!$B$4+$A21*7</f>
        <v>46373</v>
      </c>
      <c r="C21" s="39" t="n">
        <f aca="false">B21+6</f>
        <v>46379</v>
      </c>
      <c r="D21" s="23" t="str">
        <f aca="false">IF($A21&lt;0,"作前準備",IF($A21&lt;=1,"定植緩苗",IF($A21&lt;參數與用量計算!$B$14,"營養生長",IF($A21&lt;參數與用量計算!$B$18,"開花著果",IF($A21&lt;=參數與用量計算!$B$19,"採收期",IF($A21=參數與用量計算!$B$19+1,"清園","作後休閒"))))))</f>
        <v>開花著果</v>
      </c>
      <c r="E21" s="23" t="str">
        <f aca="false">IF(OR($A21=-MAX(參數與用量計算!$B$13,2),$A21=0),"★","")</f>
        <v/>
      </c>
      <c r="F21" s="23" t="str">
        <f aca="false">IF(OR($A21=-3,$A21=-2),"●","")</f>
        <v/>
      </c>
      <c r="G21" s="23" t="str">
        <f aca="false">IF($A21=0,"★","")</f>
        <v/>
      </c>
      <c r="H21" s="23" t="str">
        <f aca="false">IF(AND($A21&gt;=1,$A21&lt;=參數與用量計算!$B$19-6),"●","")</f>
        <v>●</v>
      </c>
      <c r="I21" s="23" t="str">
        <f aca="false">IF(AND($A21&gt;=參數與用量計算!$B$14,$A21&lt;=參數與用量計算!$B$19-6),"●","")</f>
        <v>●</v>
      </c>
      <c r="J21" s="23" t="str">
        <f aca="false">IF(AND($A21&gt;=參數與用量計算!$B$15,MOD($A21-參數與用量計算!$B$15,參數與用量計算!$B$16)=0,($A21-參數與用量計算!$B$15)/參數與用量計算!$B$16&lt;參數與用量計算!$B$17),"●","")</f>
        <v/>
      </c>
      <c r="K21" s="23" t="str">
        <f aca="false">IF(AND($A21&gt;=參數與用量計算!$B$14,$A21&lt;=參數與用量計算!$B$19-6),"●","")</f>
        <v>●</v>
      </c>
      <c r="L21" s="23" t="str">
        <f aca="false">IF(AND($A21&gt;=-1,$A21&lt;=參數與用量計算!$B$19),"●","")</f>
        <v>●</v>
      </c>
      <c r="M21" s="23" t="str">
        <f aca="false">IF(AND($A21&gt;=參數與用量計算!$B$18,$A21&lt;=參數與用量計算!$B$19),"●","")</f>
        <v/>
      </c>
      <c r="N21" s="23" t="str">
        <f aca="false">IF(AND($A21&gt;=參數與用量計算!$B$18,$A21&lt;=參數與用量計算!$B$19),"●","")</f>
        <v/>
      </c>
      <c r="O21" s="23" t="str">
        <f aca="false">IF($A21=參數與用量計算!$B$19-6,"★","")</f>
        <v/>
      </c>
      <c r="P21" s="23" t="str">
        <f aca="false">IF(OR($A21=參數與用量計算!$B$19+1,$A21=-8),"★","")</f>
        <v/>
      </c>
      <c r="Q21" s="24" t="n">
        <f aca="false">COUNTIF(階段工作清單!$C$4:$C$39,$A21)</f>
        <v>0</v>
      </c>
      <c r="R21" s="4"/>
    </row>
    <row r="22" customFormat="false" ht="15" hidden="false" customHeight="false" outlineLevel="0" collapsed="false">
      <c r="A22" s="24" t="n">
        <v>10</v>
      </c>
      <c r="B22" s="39" t="n">
        <f aca="false">參數與用量計算!$B$4+$A22*7</f>
        <v>46380</v>
      </c>
      <c r="C22" s="39" t="n">
        <f aca="false">B22+6</f>
        <v>46386</v>
      </c>
      <c r="D22" s="23" t="str">
        <f aca="false">IF($A22&lt;0,"作前準備",IF($A22&lt;=1,"定植緩苗",IF($A22&lt;參數與用量計算!$B$14,"營養生長",IF($A22&lt;參數與用量計算!$B$18,"開花著果",IF($A22&lt;=參數與用量計算!$B$19,"採收期",IF($A22=參數與用量計算!$B$19+1,"清園","作後休閒"))))))</f>
        <v>開花著果</v>
      </c>
      <c r="E22" s="23" t="str">
        <f aca="false">IF(OR($A22=-MAX(參數與用量計算!$B$13,2),$A22=0),"★","")</f>
        <v/>
      </c>
      <c r="F22" s="23" t="str">
        <f aca="false">IF(OR($A22=-3,$A22=-2),"●","")</f>
        <v/>
      </c>
      <c r="G22" s="23" t="str">
        <f aca="false">IF($A22=0,"★","")</f>
        <v/>
      </c>
      <c r="H22" s="23" t="str">
        <f aca="false">IF(AND($A22&gt;=1,$A22&lt;=參數與用量計算!$B$19-6),"●","")</f>
        <v>●</v>
      </c>
      <c r="I22" s="23" t="str">
        <f aca="false">IF(AND($A22&gt;=參數與用量計算!$B$14,$A22&lt;=參數與用量計算!$B$19-6),"●","")</f>
        <v>●</v>
      </c>
      <c r="J22" s="23" t="str">
        <f aca="false">IF(AND($A22&gt;=參數與用量計算!$B$15,MOD($A22-參數與用量計算!$B$15,參數與用量計算!$B$16)=0,($A22-參數與用量計算!$B$15)/參數與用量計算!$B$16&lt;參數與用量計算!$B$17),"●","")</f>
        <v>●</v>
      </c>
      <c r="K22" s="23" t="str">
        <f aca="false">IF(AND($A22&gt;=參數與用量計算!$B$14,$A22&lt;=參數與用量計算!$B$19-6),"●","")</f>
        <v>●</v>
      </c>
      <c r="L22" s="23" t="str">
        <f aca="false">IF(AND($A22&gt;=-1,$A22&lt;=參數與用量計算!$B$19),"●","")</f>
        <v>●</v>
      </c>
      <c r="M22" s="23" t="str">
        <f aca="false">IF(AND($A22&gt;=參數與用量計算!$B$18,$A22&lt;=參數與用量計算!$B$19),"●","")</f>
        <v/>
      </c>
      <c r="N22" s="23" t="str">
        <f aca="false">IF(AND($A22&gt;=參數與用量計算!$B$18,$A22&lt;=參數與用量計算!$B$19),"●","")</f>
        <v/>
      </c>
      <c r="O22" s="23" t="str">
        <f aca="false">IF($A22=參數與用量計算!$B$19-6,"★","")</f>
        <v/>
      </c>
      <c r="P22" s="23" t="str">
        <f aca="false">IF(OR($A22=參數與用量計算!$B$19+1,$A22=-8),"★","")</f>
        <v/>
      </c>
      <c r="Q22" s="24" t="n">
        <f aca="false">COUNTIF(階段工作清單!$C$4:$C$39,$A22)</f>
        <v>0</v>
      </c>
      <c r="R22" s="4"/>
    </row>
    <row r="23" customFormat="false" ht="15" hidden="false" customHeight="false" outlineLevel="0" collapsed="false">
      <c r="A23" s="24" t="n">
        <v>11</v>
      </c>
      <c r="B23" s="39" t="n">
        <f aca="false">參數與用量計算!$B$4+$A23*7</f>
        <v>46387</v>
      </c>
      <c r="C23" s="39" t="n">
        <f aca="false">B23+6</f>
        <v>46393</v>
      </c>
      <c r="D23" s="23" t="str">
        <f aca="false">IF($A23&lt;0,"作前準備",IF($A23&lt;=1,"定植緩苗",IF($A23&lt;參數與用量計算!$B$14,"營養生長",IF($A23&lt;參數與用量計算!$B$18,"開花著果",IF($A23&lt;=參數與用量計算!$B$19,"採收期",IF($A23=參數與用量計算!$B$19+1,"清園","作後休閒"))))))</f>
        <v>採收期</v>
      </c>
      <c r="E23" s="23" t="str">
        <f aca="false">IF(OR($A23=-MAX(參數與用量計算!$B$13,2),$A23=0),"★","")</f>
        <v/>
      </c>
      <c r="F23" s="23" t="str">
        <f aca="false">IF(OR($A23=-3,$A23=-2),"●","")</f>
        <v/>
      </c>
      <c r="G23" s="23" t="str">
        <f aca="false">IF($A23=0,"★","")</f>
        <v/>
      </c>
      <c r="H23" s="23" t="str">
        <f aca="false">IF(AND($A23&gt;=1,$A23&lt;=參數與用量計算!$B$19-6),"●","")</f>
        <v>●</v>
      </c>
      <c r="I23" s="23" t="str">
        <f aca="false">IF(AND($A23&gt;=參數與用量計算!$B$14,$A23&lt;=參數與用量計算!$B$19-6),"●","")</f>
        <v>●</v>
      </c>
      <c r="J23" s="23" t="str">
        <f aca="false">IF(AND($A23&gt;=參數與用量計算!$B$15,MOD($A23-參數與用量計算!$B$15,參數與用量計算!$B$16)=0,($A23-參數與用量計算!$B$15)/參數與用量計算!$B$16&lt;參數與用量計算!$B$17),"●","")</f>
        <v/>
      </c>
      <c r="K23" s="23" t="str">
        <f aca="false">IF(AND($A23&gt;=參數與用量計算!$B$14,$A23&lt;=參數與用量計算!$B$19-6),"●","")</f>
        <v>●</v>
      </c>
      <c r="L23" s="23" t="str">
        <f aca="false">IF(AND($A23&gt;=-1,$A23&lt;=參數與用量計算!$B$19),"●","")</f>
        <v>●</v>
      </c>
      <c r="M23" s="23" t="str">
        <f aca="false">IF(AND($A23&gt;=參數與用量計算!$B$18,$A23&lt;=參數與用量計算!$B$19),"●","")</f>
        <v>●</v>
      </c>
      <c r="N23" s="23" t="str">
        <f aca="false">IF(AND($A23&gt;=參數與用量計算!$B$18,$A23&lt;=參數與用量計算!$B$19),"●","")</f>
        <v>●</v>
      </c>
      <c r="O23" s="23" t="str">
        <f aca="false">IF($A23=參數與用量計算!$B$19-6,"★","")</f>
        <v/>
      </c>
      <c r="P23" s="23" t="str">
        <f aca="false">IF(OR($A23=參數與用量計算!$B$19+1,$A23=-8),"★","")</f>
        <v/>
      </c>
      <c r="Q23" s="24" t="n">
        <f aca="false">COUNTIF(階段工作清單!$C$4:$C$39,$A23)</f>
        <v>8</v>
      </c>
      <c r="R23" s="4"/>
    </row>
    <row r="24" customFormat="false" ht="15" hidden="false" customHeight="false" outlineLevel="0" collapsed="false">
      <c r="A24" s="24" t="n">
        <v>12</v>
      </c>
      <c r="B24" s="39" t="n">
        <f aca="false">參數與用量計算!$B$4+$A24*7</f>
        <v>46394</v>
      </c>
      <c r="C24" s="39" t="n">
        <f aca="false">B24+6</f>
        <v>46400</v>
      </c>
      <c r="D24" s="23" t="str">
        <f aca="false">IF($A24&lt;0,"作前準備",IF($A24&lt;=1,"定植緩苗",IF($A24&lt;參數與用量計算!$B$14,"營養生長",IF($A24&lt;參數與用量計算!$B$18,"開花著果",IF($A24&lt;=參數與用量計算!$B$19,"採收期",IF($A24=參數與用量計算!$B$19+1,"清園","作後休閒"))))))</f>
        <v>採收期</v>
      </c>
      <c r="E24" s="23" t="str">
        <f aca="false">IF(OR($A24=-MAX(參數與用量計算!$B$13,2),$A24=0),"★","")</f>
        <v/>
      </c>
      <c r="F24" s="23" t="str">
        <f aca="false">IF(OR($A24=-3,$A24=-2),"●","")</f>
        <v/>
      </c>
      <c r="G24" s="23" t="str">
        <f aca="false">IF($A24=0,"★","")</f>
        <v/>
      </c>
      <c r="H24" s="23" t="str">
        <f aca="false">IF(AND($A24&gt;=1,$A24&lt;=參數與用量計算!$B$19-6),"●","")</f>
        <v>●</v>
      </c>
      <c r="I24" s="23" t="str">
        <f aca="false">IF(AND($A24&gt;=參數與用量計算!$B$14,$A24&lt;=參數與用量計算!$B$19-6),"●","")</f>
        <v>●</v>
      </c>
      <c r="J24" s="23" t="str">
        <f aca="false">IF(AND($A24&gt;=參數與用量計算!$B$15,MOD($A24-參數與用量計算!$B$15,參數與用量計算!$B$16)=0,($A24-參數與用量計算!$B$15)/參數與用量計算!$B$16&lt;參數與用量計算!$B$17),"●","")</f>
        <v/>
      </c>
      <c r="K24" s="23" t="str">
        <f aca="false">IF(AND($A24&gt;=參數與用量計算!$B$14,$A24&lt;=參數與用量計算!$B$19-6),"●","")</f>
        <v>●</v>
      </c>
      <c r="L24" s="23" t="str">
        <f aca="false">IF(AND($A24&gt;=-1,$A24&lt;=參數與用量計算!$B$19),"●","")</f>
        <v>●</v>
      </c>
      <c r="M24" s="23" t="str">
        <f aca="false">IF(AND($A24&gt;=參數與用量計算!$B$18,$A24&lt;=參數與用量計算!$B$19),"●","")</f>
        <v>●</v>
      </c>
      <c r="N24" s="23" t="str">
        <f aca="false">IF(AND($A24&gt;=參數與用量計算!$B$18,$A24&lt;=參數與用量計算!$B$19),"●","")</f>
        <v>●</v>
      </c>
      <c r="O24" s="23" t="str">
        <f aca="false">IF($A24=參數與用量計算!$B$19-6,"★","")</f>
        <v/>
      </c>
      <c r="P24" s="23" t="str">
        <f aca="false">IF(OR($A24=參數與用量計算!$B$19+1,$A24=-8),"★","")</f>
        <v/>
      </c>
      <c r="Q24" s="24" t="n">
        <f aca="false">COUNTIF(階段工作清單!$C$4:$C$39,$A24)</f>
        <v>0</v>
      </c>
      <c r="R24" s="4"/>
    </row>
    <row r="25" customFormat="false" ht="15" hidden="false" customHeight="false" outlineLevel="0" collapsed="false">
      <c r="A25" s="24" t="n">
        <v>13</v>
      </c>
      <c r="B25" s="39" t="n">
        <f aca="false">參數與用量計算!$B$4+$A25*7</f>
        <v>46401</v>
      </c>
      <c r="C25" s="39" t="n">
        <f aca="false">B25+6</f>
        <v>46407</v>
      </c>
      <c r="D25" s="23" t="str">
        <f aca="false">IF($A25&lt;0,"作前準備",IF($A25&lt;=1,"定植緩苗",IF($A25&lt;參數與用量計算!$B$14,"營養生長",IF($A25&lt;參數與用量計算!$B$18,"開花著果",IF($A25&lt;=參數與用量計算!$B$19,"採收期",IF($A25=參數與用量計算!$B$19+1,"清園","作後休閒"))))))</f>
        <v>採收期</v>
      </c>
      <c r="E25" s="23" t="str">
        <f aca="false">IF(OR($A25=-MAX(參數與用量計算!$B$13,2),$A25=0),"★","")</f>
        <v/>
      </c>
      <c r="F25" s="23" t="str">
        <f aca="false">IF(OR($A25=-3,$A25=-2),"●","")</f>
        <v/>
      </c>
      <c r="G25" s="23" t="str">
        <f aca="false">IF($A25=0,"★","")</f>
        <v/>
      </c>
      <c r="H25" s="23" t="str">
        <f aca="false">IF(AND($A25&gt;=1,$A25&lt;=參數與用量計算!$B$19-6),"●","")</f>
        <v>●</v>
      </c>
      <c r="I25" s="23" t="str">
        <f aca="false">IF(AND($A25&gt;=參數與用量計算!$B$14,$A25&lt;=參數與用量計算!$B$19-6),"●","")</f>
        <v>●</v>
      </c>
      <c r="J25" s="23" t="str">
        <f aca="false">IF(AND($A25&gt;=參數與用量計算!$B$15,MOD($A25-參數與用量計算!$B$15,參數與用量計算!$B$16)=0,($A25-參數與用量計算!$B$15)/參數與用量計算!$B$16&lt;參數與用量計算!$B$17),"●","")</f>
        <v>●</v>
      </c>
      <c r="K25" s="23" t="str">
        <f aca="false">IF(AND($A25&gt;=參數與用量計算!$B$14,$A25&lt;=參數與用量計算!$B$19-6),"●","")</f>
        <v>●</v>
      </c>
      <c r="L25" s="23" t="str">
        <f aca="false">IF(AND($A25&gt;=-1,$A25&lt;=參數與用量計算!$B$19),"●","")</f>
        <v>●</v>
      </c>
      <c r="M25" s="23" t="str">
        <f aca="false">IF(AND($A25&gt;=參數與用量計算!$B$18,$A25&lt;=參數與用量計算!$B$19),"●","")</f>
        <v>●</v>
      </c>
      <c r="N25" s="23" t="str">
        <f aca="false">IF(AND($A25&gt;=參數與用量計算!$B$18,$A25&lt;=參數與用量計算!$B$19),"●","")</f>
        <v>●</v>
      </c>
      <c r="O25" s="23" t="str">
        <f aca="false">IF($A25=參數與用量計算!$B$19-6,"★","")</f>
        <v/>
      </c>
      <c r="P25" s="23" t="str">
        <f aca="false">IF(OR($A25=參數與用量計算!$B$19+1,$A25=-8),"★","")</f>
        <v/>
      </c>
      <c r="Q25" s="24" t="n">
        <f aca="false">COUNTIF(階段工作清單!$C$4:$C$39,$A25)</f>
        <v>0</v>
      </c>
      <c r="R25" s="4"/>
    </row>
    <row r="26" customFormat="false" ht="15" hidden="false" customHeight="false" outlineLevel="0" collapsed="false">
      <c r="A26" s="24" t="n">
        <v>14</v>
      </c>
      <c r="B26" s="39" t="n">
        <f aca="false">參數與用量計算!$B$4+$A26*7</f>
        <v>46408</v>
      </c>
      <c r="C26" s="39" t="n">
        <f aca="false">B26+6</f>
        <v>46414</v>
      </c>
      <c r="D26" s="23" t="str">
        <f aca="false">IF($A26&lt;0,"作前準備",IF($A26&lt;=1,"定植緩苗",IF($A26&lt;參數與用量計算!$B$14,"營養生長",IF($A26&lt;參數與用量計算!$B$18,"開花著果",IF($A26&lt;=參數與用量計算!$B$19,"採收期",IF($A26=參數與用量計算!$B$19+1,"清園","作後休閒"))))))</f>
        <v>採收期</v>
      </c>
      <c r="E26" s="23" t="str">
        <f aca="false">IF(OR($A26=-MAX(參數與用量計算!$B$13,2),$A26=0),"★","")</f>
        <v/>
      </c>
      <c r="F26" s="23" t="str">
        <f aca="false">IF(OR($A26=-3,$A26=-2),"●","")</f>
        <v/>
      </c>
      <c r="G26" s="23" t="str">
        <f aca="false">IF($A26=0,"★","")</f>
        <v/>
      </c>
      <c r="H26" s="23" t="str">
        <f aca="false">IF(AND($A26&gt;=1,$A26&lt;=參數與用量計算!$B$19-6),"●","")</f>
        <v>●</v>
      </c>
      <c r="I26" s="23" t="str">
        <f aca="false">IF(AND($A26&gt;=參數與用量計算!$B$14,$A26&lt;=參數與用量計算!$B$19-6),"●","")</f>
        <v>●</v>
      </c>
      <c r="J26" s="23" t="str">
        <f aca="false">IF(AND($A26&gt;=參數與用量計算!$B$15,MOD($A26-參數與用量計算!$B$15,參數與用量計算!$B$16)=0,($A26-參數與用量計算!$B$15)/參數與用量計算!$B$16&lt;參數與用量計算!$B$17),"●","")</f>
        <v/>
      </c>
      <c r="K26" s="23" t="str">
        <f aca="false">IF(AND($A26&gt;=參數與用量計算!$B$14,$A26&lt;=參數與用量計算!$B$19-6),"●","")</f>
        <v>●</v>
      </c>
      <c r="L26" s="23" t="str">
        <f aca="false">IF(AND($A26&gt;=-1,$A26&lt;=參數與用量計算!$B$19),"●","")</f>
        <v>●</v>
      </c>
      <c r="M26" s="23" t="str">
        <f aca="false">IF(AND($A26&gt;=參數與用量計算!$B$18,$A26&lt;=參數與用量計算!$B$19),"●","")</f>
        <v>●</v>
      </c>
      <c r="N26" s="23" t="str">
        <f aca="false">IF(AND($A26&gt;=參數與用量計算!$B$18,$A26&lt;=參數與用量計算!$B$19),"●","")</f>
        <v>●</v>
      </c>
      <c r="O26" s="23" t="str">
        <f aca="false">IF($A26=參數與用量計算!$B$19-6,"★","")</f>
        <v/>
      </c>
      <c r="P26" s="23" t="str">
        <f aca="false">IF(OR($A26=參數與用量計算!$B$19+1,$A26=-8),"★","")</f>
        <v/>
      </c>
      <c r="Q26" s="24" t="n">
        <f aca="false">COUNTIF(階段工作清單!$C$4:$C$39,$A26)</f>
        <v>0</v>
      </c>
      <c r="R26" s="4"/>
    </row>
    <row r="27" customFormat="false" ht="15" hidden="false" customHeight="false" outlineLevel="0" collapsed="false">
      <c r="A27" s="24" t="n">
        <v>15</v>
      </c>
      <c r="B27" s="39" t="n">
        <f aca="false">參數與用量計算!$B$4+$A27*7</f>
        <v>46415</v>
      </c>
      <c r="C27" s="39" t="n">
        <f aca="false">B27+6</f>
        <v>46421</v>
      </c>
      <c r="D27" s="23" t="str">
        <f aca="false">IF($A27&lt;0,"作前準備",IF($A27&lt;=1,"定植緩苗",IF($A27&lt;參數與用量計算!$B$14,"營養生長",IF($A27&lt;參數與用量計算!$B$18,"開花著果",IF($A27&lt;=參數與用量計算!$B$19,"採收期",IF($A27=參數與用量計算!$B$19+1,"清園","作後休閒"))))))</f>
        <v>採收期</v>
      </c>
      <c r="E27" s="23" t="str">
        <f aca="false">IF(OR($A27=-MAX(參數與用量計算!$B$13,2),$A27=0),"★","")</f>
        <v/>
      </c>
      <c r="F27" s="23" t="str">
        <f aca="false">IF(OR($A27=-3,$A27=-2),"●","")</f>
        <v/>
      </c>
      <c r="G27" s="23" t="str">
        <f aca="false">IF($A27=0,"★","")</f>
        <v/>
      </c>
      <c r="H27" s="23" t="str">
        <f aca="false">IF(AND($A27&gt;=1,$A27&lt;=參數與用量計算!$B$19-6),"●","")</f>
        <v>●</v>
      </c>
      <c r="I27" s="23" t="str">
        <f aca="false">IF(AND($A27&gt;=參數與用量計算!$B$14,$A27&lt;=參數與用量計算!$B$19-6),"●","")</f>
        <v>●</v>
      </c>
      <c r="J27" s="23" t="str">
        <f aca="false">IF(AND($A27&gt;=參數與用量計算!$B$15,MOD($A27-參數與用量計算!$B$15,參數與用量計算!$B$16)=0,($A27-參數與用量計算!$B$15)/參數與用量計算!$B$16&lt;參數與用量計算!$B$17),"●","")</f>
        <v/>
      </c>
      <c r="K27" s="23" t="str">
        <f aca="false">IF(AND($A27&gt;=參數與用量計算!$B$14,$A27&lt;=參數與用量計算!$B$19-6),"●","")</f>
        <v>●</v>
      </c>
      <c r="L27" s="23" t="str">
        <f aca="false">IF(AND($A27&gt;=-1,$A27&lt;=參數與用量計算!$B$19),"●","")</f>
        <v>●</v>
      </c>
      <c r="M27" s="23" t="str">
        <f aca="false">IF(AND($A27&gt;=參數與用量計算!$B$18,$A27&lt;=參數與用量計算!$B$19),"●","")</f>
        <v>●</v>
      </c>
      <c r="N27" s="23" t="str">
        <f aca="false">IF(AND($A27&gt;=參數與用量計算!$B$18,$A27&lt;=參數與用量計算!$B$19),"●","")</f>
        <v>●</v>
      </c>
      <c r="O27" s="23" t="str">
        <f aca="false">IF($A27=參數與用量計算!$B$19-6,"★","")</f>
        <v/>
      </c>
      <c r="P27" s="23" t="str">
        <f aca="false">IF(OR($A27=參數與用量計算!$B$19+1,$A27=-8),"★","")</f>
        <v/>
      </c>
      <c r="Q27" s="24" t="n">
        <f aca="false">COUNTIF(階段工作清單!$C$4:$C$39,$A27)</f>
        <v>0</v>
      </c>
      <c r="R27" s="4"/>
    </row>
    <row r="28" customFormat="false" ht="15" hidden="false" customHeight="false" outlineLevel="0" collapsed="false">
      <c r="A28" s="24" t="n">
        <v>16</v>
      </c>
      <c r="B28" s="39" t="n">
        <f aca="false">參數與用量計算!$B$4+$A28*7</f>
        <v>46422</v>
      </c>
      <c r="C28" s="39" t="n">
        <f aca="false">B28+6</f>
        <v>46428</v>
      </c>
      <c r="D28" s="23" t="str">
        <f aca="false">IF($A28&lt;0,"作前準備",IF($A28&lt;=1,"定植緩苗",IF($A28&lt;參數與用量計算!$B$14,"營養生長",IF($A28&lt;參數與用量計算!$B$18,"開花著果",IF($A28&lt;=參數與用量計算!$B$19,"採收期",IF($A28=參數與用量計算!$B$19+1,"清園","作後休閒"))))))</f>
        <v>採收期</v>
      </c>
      <c r="E28" s="23" t="str">
        <f aca="false">IF(OR($A28=-MAX(參數與用量計算!$B$13,2),$A28=0),"★","")</f>
        <v/>
      </c>
      <c r="F28" s="23" t="str">
        <f aca="false">IF(OR($A28=-3,$A28=-2),"●","")</f>
        <v/>
      </c>
      <c r="G28" s="23" t="str">
        <f aca="false">IF($A28=0,"★","")</f>
        <v/>
      </c>
      <c r="H28" s="23" t="str">
        <f aca="false">IF(AND($A28&gt;=1,$A28&lt;=參數與用量計算!$B$19-6),"●","")</f>
        <v>●</v>
      </c>
      <c r="I28" s="23" t="str">
        <f aca="false">IF(AND($A28&gt;=參數與用量計算!$B$14,$A28&lt;=參數與用量計算!$B$19-6),"●","")</f>
        <v>●</v>
      </c>
      <c r="J28" s="23" t="str">
        <f aca="false">IF(AND($A28&gt;=參數與用量計算!$B$15,MOD($A28-參數與用量計算!$B$15,參數與用量計算!$B$16)=0,($A28-參數與用量計算!$B$15)/參數與用量計算!$B$16&lt;參數與用量計算!$B$17),"●","")</f>
        <v>●</v>
      </c>
      <c r="K28" s="23" t="str">
        <f aca="false">IF(AND($A28&gt;=參數與用量計算!$B$14,$A28&lt;=參數與用量計算!$B$19-6),"●","")</f>
        <v>●</v>
      </c>
      <c r="L28" s="23" t="str">
        <f aca="false">IF(AND($A28&gt;=-1,$A28&lt;=參數與用量計算!$B$19),"●","")</f>
        <v>●</v>
      </c>
      <c r="M28" s="23" t="str">
        <f aca="false">IF(AND($A28&gt;=參數與用量計算!$B$18,$A28&lt;=參數與用量計算!$B$19),"●","")</f>
        <v>●</v>
      </c>
      <c r="N28" s="23" t="str">
        <f aca="false">IF(AND($A28&gt;=參數與用量計算!$B$18,$A28&lt;=參數與用量計算!$B$19),"●","")</f>
        <v>●</v>
      </c>
      <c r="O28" s="23" t="str">
        <f aca="false">IF($A28=參數與用量計算!$B$19-6,"★","")</f>
        <v/>
      </c>
      <c r="P28" s="23" t="str">
        <f aca="false">IF(OR($A28=參數與用量計算!$B$19+1,$A28=-8),"★","")</f>
        <v/>
      </c>
      <c r="Q28" s="24" t="n">
        <f aca="false">COUNTIF(階段工作清單!$C$4:$C$39,$A28)</f>
        <v>0</v>
      </c>
      <c r="R28" s="4"/>
    </row>
    <row r="29" customFormat="false" ht="15" hidden="false" customHeight="false" outlineLevel="0" collapsed="false">
      <c r="A29" s="24" t="n">
        <v>17</v>
      </c>
      <c r="B29" s="39" t="n">
        <f aca="false">參數與用量計算!$B$4+$A29*7</f>
        <v>46429</v>
      </c>
      <c r="C29" s="39" t="n">
        <f aca="false">B29+6</f>
        <v>46435</v>
      </c>
      <c r="D29" s="23" t="str">
        <f aca="false">IF($A29&lt;0,"作前準備",IF($A29&lt;=1,"定植緩苗",IF($A29&lt;參數與用量計算!$B$14,"營養生長",IF($A29&lt;參數與用量計算!$B$18,"開花著果",IF($A29&lt;=參數與用量計算!$B$19,"採收期",IF($A29=參數與用量計算!$B$19+1,"清園","作後休閒"))))))</f>
        <v>採收期</v>
      </c>
      <c r="E29" s="23" t="str">
        <f aca="false">IF(OR($A29=-MAX(參數與用量計算!$B$13,2),$A29=0),"★","")</f>
        <v/>
      </c>
      <c r="F29" s="23" t="str">
        <f aca="false">IF(OR($A29=-3,$A29=-2),"●","")</f>
        <v/>
      </c>
      <c r="G29" s="23" t="str">
        <f aca="false">IF($A29=0,"★","")</f>
        <v/>
      </c>
      <c r="H29" s="23" t="str">
        <f aca="false">IF(AND($A29&gt;=1,$A29&lt;=參數與用量計算!$B$19-6),"●","")</f>
        <v>●</v>
      </c>
      <c r="I29" s="23" t="str">
        <f aca="false">IF(AND($A29&gt;=參數與用量計算!$B$14,$A29&lt;=參數與用量計算!$B$19-6),"●","")</f>
        <v>●</v>
      </c>
      <c r="J29" s="23" t="str">
        <f aca="false">IF(AND($A29&gt;=參數與用量計算!$B$15,MOD($A29-參數與用量計算!$B$15,參數與用量計算!$B$16)=0,($A29-參數與用量計算!$B$15)/參數與用量計算!$B$16&lt;參數與用量計算!$B$17),"●","")</f>
        <v/>
      </c>
      <c r="K29" s="23" t="str">
        <f aca="false">IF(AND($A29&gt;=參數與用量計算!$B$14,$A29&lt;=參數與用量計算!$B$19-6),"●","")</f>
        <v>●</v>
      </c>
      <c r="L29" s="23" t="str">
        <f aca="false">IF(AND($A29&gt;=-1,$A29&lt;=參數與用量計算!$B$19),"●","")</f>
        <v>●</v>
      </c>
      <c r="M29" s="23" t="str">
        <f aca="false">IF(AND($A29&gt;=參數與用量計算!$B$18,$A29&lt;=參數與用量計算!$B$19),"●","")</f>
        <v>●</v>
      </c>
      <c r="N29" s="23" t="str">
        <f aca="false">IF(AND($A29&gt;=參數與用量計算!$B$18,$A29&lt;=參數與用量計算!$B$19),"●","")</f>
        <v>●</v>
      </c>
      <c r="O29" s="23" t="str">
        <f aca="false">IF($A29=參數與用量計算!$B$19-6,"★","")</f>
        <v/>
      </c>
      <c r="P29" s="23" t="str">
        <f aca="false">IF(OR($A29=參數與用量計算!$B$19+1,$A29=-8),"★","")</f>
        <v/>
      </c>
      <c r="Q29" s="24" t="n">
        <f aca="false">COUNTIF(階段工作清單!$C$4:$C$39,$A29)</f>
        <v>0</v>
      </c>
      <c r="R29" s="4"/>
    </row>
    <row r="30" customFormat="false" ht="15" hidden="false" customHeight="false" outlineLevel="0" collapsed="false">
      <c r="A30" s="24" t="n">
        <v>18</v>
      </c>
      <c r="B30" s="39" t="n">
        <f aca="false">參數與用量計算!$B$4+$A30*7</f>
        <v>46436</v>
      </c>
      <c r="C30" s="39" t="n">
        <f aca="false">B30+6</f>
        <v>46442</v>
      </c>
      <c r="D30" s="23" t="str">
        <f aca="false">IF($A30&lt;0,"作前準備",IF($A30&lt;=1,"定植緩苗",IF($A30&lt;參數與用量計算!$B$14,"營養生長",IF($A30&lt;參數與用量計算!$B$18,"開花著果",IF($A30&lt;=參數與用量計算!$B$19,"採收期",IF($A30=參數與用量計算!$B$19+1,"清園","作後休閒"))))))</f>
        <v>採收期</v>
      </c>
      <c r="E30" s="23" t="str">
        <f aca="false">IF(OR($A30=-MAX(參數與用量計算!$B$13,2),$A30=0),"★","")</f>
        <v/>
      </c>
      <c r="F30" s="23" t="str">
        <f aca="false">IF(OR($A30=-3,$A30=-2),"●","")</f>
        <v/>
      </c>
      <c r="G30" s="23" t="str">
        <f aca="false">IF($A30=0,"★","")</f>
        <v/>
      </c>
      <c r="H30" s="23" t="str">
        <f aca="false">IF(AND($A30&gt;=1,$A30&lt;=參數與用量計算!$B$19-6),"●","")</f>
        <v>●</v>
      </c>
      <c r="I30" s="23" t="str">
        <f aca="false">IF(AND($A30&gt;=參數與用量計算!$B$14,$A30&lt;=參數與用量計算!$B$19-6),"●","")</f>
        <v>●</v>
      </c>
      <c r="J30" s="23" t="str">
        <f aca="false">IF(AND($A30&gt;=參數與用量計算!$B$15,MOD($A30-參數與用量計算!$B$15,參數與用量計算!$B$16)=0,($A30-參數與用量計算!$B$15)/參數與用量計算!$B$16&lt;參數與用量計算!$B$17),"●","")</f>
        <v/>
      </c>
      <c r="K30" s="23" t="str">
        <f aca="false">IF(AND($A30&gt;=參數與用量計算!$B$14,$A30&lt;=參數與用量計算!$B$19-6),"●","")</f>
        <v>●</v>
      </c>
      <c r="L30" s="23" t="str">
        <f aca="false">IF(AND($A30&gt;=-1,$A30&lt;=參數與用量計算!$B$19),"●","")</f>
        <v>●</v>
      </c>
      <c r="M30" s="23" t="str">
        <f aca="false">IF(AND($A30&gt;=參數與用量計算!$B$18,$A30&lt;=參數與用量計算!$B$19),"●","")</f>
        <v>●</v>
      </c>
      <c r="N30" s="23" t="str">
        <f aca="false">IF(AND($A30&gt;=參數與用量計算!$B$18,$A30&lt;=參數與用量計算!$B$19),"●","")</f>
        <v>●</v>
      </c>
      <c r="O30" s="23" t="str">
        <f aca="false">IF($A30=參數與用量計算!$B$19-6,"★","")</f>
        <v/>
      </c>
      <c r="P30" s="23" t="str">
        <f aca="false">IF(OR($A30=參數與用量計算!$B$19+1,$A30=-8),"★","")</f>
        <v/>
      </c>
      <c r="Q30" s="24" t="n">
        <f aca="false">COUNTIF(階段工作清單!$C$4:$C$39,$A30)</f>
        <v>0</v>
      </c>
      <c r="R30" s="4"/>
    </row>
    <row r="31" customFormat="false" ht="15" hidden="false" customHeight="false" outlineLevel="0" collapsed="false">
      <c r="A31" s="24" t="n">
        <v>19</v>
      </c>
      <c r="B31" s="39" t="n">
        <f aca="false">參數與用量計算!$B$4+$A31*7</f>
        <v>46443</v>
      </c>
      <c r="C31" s="39" t="n">
        <f aca="false">B31+6</f>
        <v>46449</v>
      </c>
      <c r="D31" s="23" t="str">
        <f aca="false">IF($A31&lt;0,"作前準備",IF($A31&lt;=1,"定植緩苗",IF($A31&lt;參數與用量計算!$B$14,"營養生長",IF($A31&lt;參數與用量計算!$B$18,"開花著果",IF($A31&lt;=參數與用量計算!$B$19,"採收期",IF($A31=參數與用量計算!$B$19+1,"清園","作後休閒"))))))</f>
        <v>採收期</v>
      </c>
      <c r="E31" s="23" t="str">
        <f aca="false">IF(OR($A31=-MAX(參數與用量計算!$B$13,2),$A31=0),"★","")</f>
        <v/>
      </c>
      <c r="F31" s="23" t="str">
        <f aca="false">IF(OR($A31=-3,$A31=-2),"●","")</f>
        <v/>
      </c>
      <c r="G31" s="23" t="str">
        <f aca="false">IF($A31=0,"★","")</f>
        <v/>
      </c>
      <c r="H31" s="23" t="str">
        <f aca="false">IF(AND($A31&gt;=1,$A31&lt;=參數與用量計算!$B$19-6),"●","")</f>
        <v>●</v>
      </c>
      <c r="I31" s="23" t="str">
        <f aca="false">IF(AND($A31&gt;=參數與用量計算!$B$14,$A31&lt;=參數與用量計算!$B$19-6),"●","")</f>
        <v>●</v>
      </c>
      <c r="J31" s="23" t="str">
        <f aca="false">IF(AND($A31&gt;=參數與用量計算!$B$15,MOD($A31-參數與用量計算!$B$15,參數與用量計算!$B$16)=0,($A31-參數與用量計算!$B$15)/參數與用量計算!$B$16&lt;參數與用量計算!$B$17),"●","")</f>
        <v>●</v>
      </c>
      <c r="K31" s="23" t="str">
        <f aca="false">IF(AND($A31&gt;=參數與用量計算!$B$14,$A31&lt;=參數與用量計算!$B$19-6),"●","")</f>
        <v>●</v>
      </c>
      <c r="L31" s="23" t="str">
        <f aca="false">IF(AND($A31&gt;=-1,$A31&lt;=參數與用量計算!$B$19),"●","")</f>
        <v>●</v>
      </c>
      <c r="M31" s="23" t="str">
        <f aca="false">IF(AND($A31&gt;=參數與用量計算!$B$18,$A31&lt;=參數與用量計算!$B$19),"●","")</f>
        <v>●</v>
      </c>
      <c r="N31" s="23" t="str">
        <f aca="false">IF(AND($A31&gt;=參數與用量計算!$B$18,$A31&lt;=參數與用量計算!$B$19),"●","")</f>
        <v>●</v>
      </c>
      <c r="O31" s="23" t="str">
        <f aca="false">IF($A31=參數與用量計算!$B$19-6,"★","")</f>
        <v/>
      </c>
      <c r="P31" s="23" t="str">
        <f aca="false">IF(OR($A31=參數與用量計算!$B$19+1,$A31=-8),"★","")</f>
        <v/>
      </c>
      <c r="Q31" s="24" t="n">
        <f aca="false">COUNTIF(階段工作清單!$C$4:$C$39,$A31)</f>
        <v>0</v>
      </c>
      <c r="R31" s="4"/>
    </row>
    <row r="32" customFormat="false" ht="15" hidden="false" customHeight="false" outlineLevel="0" collapsed="false">
      <c r="A32" s="24" t="n">
        <v>20</v>
      </c>
      <c r="B32" s="39" t="n">
        <f aca="false">參數與用量計算!$B$4+$A32*7</f>
        <v>46450</v>
      </c>
      <c r="C32" s="39" t="n">
        <f aca="false">B32+6</f>
        <v>46456</v>
      </c>
      <c r="D32" s="23" t="str">
        <f aca="false">IF($A32&lt;0,"作前準備",IF($A32&lt;=1,"定植緩苗",IF($A32&lt;參數與用量計算!$B$14,"營養生長",IF($A32&lt;參數與用量計算!$B$18,"開花著果",IF($A32&lt;=參數與用量計算!$B$19,"採收期",IF($A32=參數與用量計算!$B$19+1,"清園","作後休閒"))))))</f>
        <v>採收期</v>
      </c>
      <c r="E32" s="23" t="str">
        <f aca="false">IF(OR($A32=-MAX(參數與用量計算!$B$13,2),$A32=0),"★","")</f>
        <v/>
      </c>
      <c r="F32" s="23" t="str">
        <f aca="false">IF(OR($A32=-3,$A32=-2),"●","")</f>
        <v/>
      </c>
      <c r="G32" s="23" t="str">
        <f aca="false">IF($A32=0,"★","")</f>
        <v/>
      </c>
      <c r="H32" s="23" t="str">
        <f aca="false">IF(AND($A32&gt;=1,$A32&lt;=參數與用量計算!$B$19-6),"●","")</f>
        <v>●</v>
      </c>
      <c r="I32" s="23" t="str">
        <f aca="false">IF(AND($A32&gt;=參數與用量計算!$B$14,$A32&lt;=參數與用量計算!$B$19-6),"●","")</f>
        <v>●</v>
      </c>
      <c r="J32" s="23" t="str">
        <f aca="false">IF(AND($A32&gt;=參數與用量計算!$B$15,MOD($A32-參數與用量計算!$B$15,參數與用量計算!$B$16)=0,($A32-參數與用量計算!$B$15)/參數與用量計算!$B$16&lt;參數與用量計算!$B$17),"●","")</f>
        <v/>
      </c>
      <c r="K32" s="23" t="str">
        <f aca="false">IF(AND($A32&gt;=參數與用量計算!$B$14,$A32&lt;=參數與用量計算!$B$19-6),"●","")</f>
        <v>●</v>
      </c>
      <c r="L32" s="23" t="str">
        <f aca="false">IF(AND($A32&gt;=-1,$A32&lt;=參數與用量計算!$B$19),"●","")</f>
        <v>●</v>
      </c>
      <c r="M32" s="23" t="str">
        <f aca="false">IF(AND($A32&gt;=參數與用量計算!$B$18,$A32&lt;=參數與用量計算!$B$19),"●","")</f>
        <v>●</v>
      </c>
      <c r="N32" s="23" t="str">
        <f aca="false">IF(AND($A32&gt;=參數與用量計算!$B$18,$A32&lt;=參數與用量計算!$B$19),"●","")</f>
        <v>●</v>
      </c>
      <c r="O32" s="23" t="str">
        <f aca="false">IF($A32=參數與用量計算!$B$19-6,"★","")</f>
        <v/>
      </c>
      <c r="P32" s="23" t="str">
        <f aca="false">IF(OR($A32=參數與用量計算!$B$19+1,$A32=-8),"★","")</f>
        <v/>
      </c>
      <c r="Q32" s="24" t="n">
        <f aca="false">COUNTIF(階段工作清單!$C$4:$C$39,$A32)</f>
        <v>0</v>
      </c>
      <c r="R32" s="4"/>
    </row>
    <row r="33" customFormat="false" ht="15" hidden="false" customHeight="false" outlineLevel="0" collapsed="false">
      <c r="A33" s="24" t="n">
        <v>21</v>
      </c>
      <c r="B33" s="39" t="n">
        <f aca="false">參數與用量計算!$B$4+$A33*7</f>
        <v>46457</v>
      </c>
      <c r="C33" s="39" t="n">
        <f aca="false">B33+6</f>
        <v>46463</v>
      </c>
      <c r="D33" s="23" t="str">
        <f aca="false">IF($A33&lt;0,"作前準備",IF($A33&lt;=1,"定植緩苗",IF($A33&lt;參數與用量計算!$B$14,"營養生長",IF($A33&lt;參數與用量計算!$B$18,"開花著果",IF($A33&lt;=參數與用量計算!$B$19,"採收期",IF($A33=參數與用量計算!$B$19+1,"清園","作後休閒"))))))</f>
        <v>採收期</v>
      </c>
      <c r="E33" s="23" t="str">
        <f aca="false">IF(OR($A33=-MAX(參數與用量計算!$B$13,2),$A33=0),"★","")</f>
        <v/>
      </c>
      <c r="F33" s="23" t="str">
        <f aca="false">IF(OR($A33=-3,$A33=-2),"●","")</f>
        <v/>
      </c>
      <c r="G33" s="23" t="str">
        <f aca="false">IF($A33=0,"★","")</f>
        <v/>
      </c>
      <c r="H33" s="23" t="str">
        <f aca="false">IF(AND($A33&gt;=1,$A33&lt;=參數與用量計算!$B$19-6),"●","")</f>
        <v>●</v>
      </c>
      <c r="I33" s="23" t="str">
        <f aca="false">IF(AND($A33&gt;=參數與用量計算!$B$14,$A33&lt;=參數與用量計算!$B$19-6),"●","")</f>
        <v>●</v>
      </c>
      <c r="J33" s="23" t="str">
        <f aca="false">IF(AND($A33&gt;=參數與用量計算!$B$15,MOD($A33-參數與用量計算!$B$15,參數與用量計算!$B$16)=0,($A33-參數與用量計算!$B$15)/參數與用量計算!$B$16&lt;參數與用量計算!$B$17),"●","")</f>
        <v/>
      </c>
      <c r="K33" s="23" t="str">
        <f aca="false">IF(AND($A33&gt;=參數與用量計算!$B$14,$A33&lt;=參數與用量計算!$B$19-6),"●","")</f>
        <v>●</v>
      </c>
      <c r="L33" s="23" t="str">
        <f aca="false">IF(AND($A33&gt;=-1,$A33&lt;=參數與用量計算!$B$19),"●","")</f>
        <v>●</v>
      </c>
      <c r="M33" s="23" t="str">
        <f aca="false">IF(AND($A33&gt;=參數與用量計算!$B$18,$A33&lt;=參數與用量計算!$B$19),"●","")</f>
        <v>●</v>
      </c>
      <c r="N33" s="23" t="str">
        <f aca="false">IF(AND($A33&gt;=參數與用量計算!$B$18,$A33&lt;=參數與用量計算!$B$19),"●","")</f>
        <v>●</v>
      </c>
      <c r="O33" s="23" t="str">
        <f aca="false">IF($A33=參數與用量計算!$B$19-6,"★","")</f>
        <v/>
      </c>
      <c r="P33" s="23" t="str">
        <f aca="false">IF(OR($A33=參數與用量計算!$B$19+1,$A33=-8),"★","")</f>
        <v/>
      </c>
      <c r="Q33" s="24" t="n">
        <f aca="false">COUNTIF(階段工作清單!$C$4:$C$39,$A33)</f>
        <v>0</v>
      </c>
      <c r="R33" s="4"/>
    </row>
    <row r="34" customFormat="false" ht="15" hidden="false" customHeight="false" outlineLevel="0" collapsed="false">
      <c r="A34" s="24" t="n">
        <v>22</v>
      </c>
      <c r="B34" s="39" t="n">
        <f aca="false">參數與用量計算!$B$4+$A34*7</f>
        <v>46464</v>
      </c>
      <c r="C34" s="39" t="n">
        <f aca="false">B34+6</f>
        <v>46470</v>
      </c>
      <c r="D34" s="23" t="str">
        <f aca="false">IF($A34&lt;0,"作前準備",IF($A34&lt;=1,"定植緩苗",IF($A34&lt;參數與用量計算!$B$14,"營養生長",IF($A34&lt;參數與用量計算!$B$18,"開花著果",IF($A34&lt;=參數與用量計算!$B$19,"採收期",IF($A34=參數與用量計算!$B$19+1,"清園","作後休閒"))))))</f>
        <v>採收期</v>
      </c>
      <c r="E34" s="23" t="str">
        <f aca="false">IF(OR($A34=-MAX(參數與用量計算!$B$13,2),$A34=0),"★","")</f>
        <v/>
      </c>
      <c r="F34" s="23" t="str">
        <f aca="false">IF(OR($A34=-3,$A34=-2),"●","")</f>
        <v/>
      </c>
      <c r="G34" s="23" t="str">
        <f aca="false">IF($A34=0,"★","")</f>
        <v/>
      </c>
      <c r="H34" s="23" t="str">
        <f aca="false">IF(AND($A34&gt;=1,$A34&lt;=參數與用量計算!$B$19-6),"●","")</f>
        <v>●</v>
      </c>
      <c r="I34" s="23" t="str">
        <f aca="false">IF(AND($A34&gt;=參數與用量計算!$B$14,$A34&lt;=參數與用量計算!$B$19-6),"●","")</f>
        <v>●</v>
      </c>
      <c r="J34" s="23" t="str">
        <f aca="false">IF(AND($A34&gt;=參數與用量計算!$B$15,MOD($A34-參數與用量計算!$B$15,參數與用量計算!$B$16)=0,($A34-參數與用量計算!$B$15)/參數與用量計算!$B$16&lt;參數與用量計算!$B$17),"●","")</f>
        <v>●</v>
      </c>
      <c r="K34" s="23" t="str">
        <f aca="false">IF(AND($A34&gt;=參數與用量計算!$B$14,$A34&lt;=參數與用量計算!$B$19-6),"●","")</f>
        <v>●</v>
      </c>
      <c r="L34" s="23" t="str">
        <f aca="false">IF(AND($A34&gt;=-1,$A34&lt;=參數與用量計算!$B$19),"●","")</f>
        <v>●</v>
      </c>
      <c r="M34" s="23" t="str">
        <f aca="false">IF(AND($A34&gt;=參數與用量計算!$B$18,$A34&lt;=參數與用量計算!$B$19),"●","")</f>
        <v>●</v>
      </c>
      <c r="N34" s="23" t="str">
        <f aca="false">IF(AND($A34&gt;=參數與用量計算!$B$18,$A34&lt;=參數與用量計算!$B$19),"●","")</f>
        <v>●</v>
      </c>
      <c r="O34" s="23" t="str">
        <f aca="false">IF($A34=參數與用量計算!$B$19-6,"★","")</f>
        <v/>
      </c>
      <c r="P34" s="23" t="str">
        <f aca="false">IF(OR($A34=參數與用量計算!$B$19+1,$A34=-8),"★","")</f>
        <v/>
      </c>
      <c r="Q34" s="24" t="n">
        <f aca="false">COUNTIF(階段工作清單!$C$4:$C$39,$A34)</f>
        <v>0</v>
      </c>
      <c r="R34" s="4"/>
    </row>
    <row r="35" customFormat="false" ht="15" hidden="false" customHeight="false" outlineLevel="0" collapsed="false">
      <c r="A35" s="24" t="n">
        <v>23</v>
      </c>
      <c r="B35" s="39" t="n">
        <f aca="false">參數與用量計算!$B$4+$A35*7</f>
        <v>46471</v>
      </c>
      <c r="C35" s="39" t="n">
        <f aca="false">B35+6</f>
        <v>46477</v>
      </c>
      <c r="D35" s="23" t="str">
        <f aca="false">IF($A35&lt;0,"作前準備",IF($A35&lt;=1,"定植緩苗",IF($A35&lt;參數與用量計算!$B$14,"營養生長",IF($A35&lt;參數與用量計算!$B$18,"開花著果",IF($A35&lt;=參數與用量計算!$B$19,"採收期",IF($A35=參數與用量計算!$B$19+1,"清園","作後休閒"))))))</f>
        <v>採收期</v>
      </c>
      <c r="E35" s="23" t="str">
        <f aca="false">IF(OR($A35=-MAX(參數與用量計算!$B$13,2),$A35=0),"★","")</f>
        <v/>
      </c>
      <c r="F35" s="23" t="str">
        <f aca="false">IF(OR($A35=-3,$A35=-2),"●","")</f>
        <v/>
      </c>
      <c r="G35" s="23" t="str">
        <f aca="false">IF($A35=0,"★","")</f>
        <v/>
      </c>
      <c r="H35" s="23" t="str">
        <f aca="false">IF(AND($A35&gt;=1,$A35&lt;=參數與用量計算!$B$19-6),"●","")</f>
        <v>●</v>
      </c>
      <c r="I35" s="23" t="str">
        <f aca="false">IF(AND($A35&gt;=參數與用量計算!$B$14,$A35&lt;=參數與用量計算!$B$19-6),"●","")</f>
        <v>●</v>
      </c>
      <c r="J35" s="23" t="str">
        <f aca="false">IF(AND($A35&gt;=參數與用量計算!$B$15,MOD($A35-參數與用量計算!$B$15,參數與用量計算!$B$16)=0,($A35-參數與用量計算!$B$15)/參數與用量計算!$B$16&lt;參數與用量計算!$B$17),"●","")</f>
        <v/>
      </c>
      <c r="K35" s="23" t="str">
        <f aca="false">IF(AND($A35&gt;=參數與用量計算!$B$14,$A35&lt;=參數與用量計算!$B$19-6),"●","")</f>
        <v>●</v>
      </c>
      <c r="L35" s="23" t="str">
        <f aca="false">IF(AND($A35&gt;=-1,$A35&lt;=參數與用量計算!$B$19),"●","")</f>
        <v>●</v>
      </c>
      <c r="M35" s="23" t="str">
        <f aca="false">IF(AND($A35&gt;=參數與用量計算!$B$18,$A35&lt;=參數與用量計算!$B$19),"●","")</f>
        <v>●</v>
      </c>
      <c r="N35" s="23" t="str">
        <f aca="false">IF(AND($A35&gt;=參數與用量計算!$B$18,$A35&lt;=參數與用量計算!$B$19),"●","")</f>
        <v>●</v>
      </c>
      <c r="O35" s="23" t="str">
        <f aca="false">IF($A35=參數與用量計算!$B$19-6,"★","")</f>
        <v/>
      </c>
      <c r="P35" s="23" t="str">
        <f aca="false">IF(OR($A35=參數與用量計算!$B$19+1,$A35=-8),"★","")</f>
        <v/>
      </c>
      <c r="Q35" s="24" t="n">
        <f aca="false">COUNTIF(階段工作清單!$C$4:$C$39,$A35)</f>
        <v>0</v>
      </c>
      <c r="R35" s="4"/>
    </row>
    <row r="36" customFormat="false" ht="15" hidden="false" customHeight="false" outlineLevel="0" collapsed="false">
      <c r="A36" s="24" t="n">
        <v>24</v>
      </c>
      <c r="B36" s="39" t="n">
        <f aca="false">參數與用量計算!$B$4+$A36*7</f>
        <v>46478</v>
      </c>
      <c r="C36" s="39" t="n">
        <f aca="false">B36+6</f>
        <v>46484</v>
      </c>
      <c r="D36" s="23" t="str">
        <f aca="false">IF($A36&lt;0,"作前準備",IF($A36&lt;=1,"定植緩苗",IF($A36&lt;參數與用量計算!$B$14,"營養生長",IF($A36&lt;參數與用量計算!$B$18,"開花著果",IF($A36&lt;=參數與用量計算!$B$19,"採收期",IF($A36=參數與用量計算!$B$19+1,"清園","作後休閒"))))))</f>
        <v>採收期</v>
      </c>
      <c r="E36" s="23" t="str">
        <f aca="false">IF(OR($A36=-MAX(參數與用量計算!$B$13,2),$A36=0),"★","")</f>
        <v/>
      </c>
      <c r="F36" s="23" t="str">
        <f aca="false">IF(OR($A36=-3,$A36=-2),"●","")</f>
        <v/>
      </c>
      <c r="G36" s="23" t="str">
        <f aca="false">IF($A36=0,"★","")</f>
        <v/>
      </c>
      <c r="H36" s="23" t="str">
        <f aca="false">IF(AND($A36&gt;=1,$A36&lt;=參數與用量計算!$B$19-6),"●","")</f>
        <v>●</v>
      </c>
      <c r="I36" s="23" t="str">
        <f aca="false">IF(AND($A36&gt;=參數與用量計算!$B$14,$A36&lt;=參數與用量計算!$B$19-6),"●","")</f>
        <v>●</v>
      </c>
      <c r="J36" s="23" t="str">
        <f aca="false">IF(AND($A36&gt;=參數與用量計算!$B$15,MOD($A36-參數與用量計算!$B$15,參數與用量計算!$B$16)=0,($A36-參數與用量計算!$B$15)/參數與用量計算!$B$16&lt;參數與用量計算!$B$17),"●","")</f>
        <v/>
      </c>
      <c r="K36" s="23" t="str">
        <f aca="false">IF(AND($A36&gt;=參數與用量計算!$B$14,$A36&lt;=參數與用量計算!$B$19-6),"●","")</f>
        <v>●</v>
      </c>
      <c r="L36" s="23" t="str">
        <f aca="false">IF(AND($A36&gt;=-1,$A36&lt;=參數與用量計算!$B$19),"●","")</f>
        <v>●</v>
      </c>
      <c r="M36" s="23" t="str">
        <f aca="false">IF(AND($A36&gt;=參數與用量計算!$B$18,$A36&lt;=參數與用量計算!$B$19),"●","")</f>
        <v>●</v>
      </c>
      <c r="N36" s="23" t="str">
        <f aca="false">IF(AND($A36&gt;=參數與用量計算!$B$18,$A36&lt;=參數與用量計算!$B$19),"●","")</f>
        <v>●</v>
      </c>
      <c r="O36" s="23" t="str">
        <f aca="false">IF($A36=參數與用量計算!$B$19-6,"★","")</f>
        <v>★</v>
      </c>
      <c r="P36" s="23" t="str">
        <f aca="false">IF(OR($A36=參數與用量計算!$B$19+1,$A36=-8),"★","")</f>
        <v/>
      </c>
      <c r="Q36" s="24" t="n">
        <f aca="false">COUNTIF(階段工作清單!$C$4:$C$39,$A36)</f>
        <v>1</v>
      </c>
      <c r="R36" s="4"/>
    </row>
    <row r="37" customFormat="false" ht="15" hidden="false" customHeight="false" outlineLevel="0" collapsed="false">
      <c r="A37" s="24" t="n">
        <v>25</v>
      </c>
      <c r="B37" s="39" t="n">
        <f aca="false">參數與用量計算!$B$4+$A37*7</f>
        <v>46485</v>
      </c>
      <c r="C37" s="39" t="n">
        <f aca="false">B37+6</f>
        <v>46491</v>
      </c>
      <c r="D37" s="23" t="str">
        <f aca="false">IF($A37&lt;0,"作前準備",IF($A37&lt;=1,"定植緩苗",IF($A37&lt;參數與用量計算!$B$14,"營養生長",IF($A37&lt;參數與用量計算!$B$18,"開花著果",IF($A37&lt;=參數與用量計算!$B$19,"採收期",IF($A37=參數與用量計算!$B$19+1,"清園","作後休閒"))))))</f>
        <v>採收期</v>
      </c>
      <c r="E37" s="23" t="str">
        <f aca="false">IF(OR($A37=-MAX(參數與用量計算!$B$13,2),$A37=0),"★","")</f>
        <v/>
      </c>
      <c r="F37" s="23" t="str">
        <f aca="false">IF(OR($A37=-3,$A37=-2),"●","")</f>
        <v/>
      </c>
      <c r="G37" s="23" t="str">
        <f aca="false">IF($A37=0,"★","")</f>
        <v/>
      </c>
      <c r="H37" s="23" t="str">
        <f aca="false">IF(AND($A37&gt;=1,$A37&lt;=參數與用量計算!$B$19-6),"●","")</f>
        <v/>
      </c>
      <c r="I37" s="23" t="str">
        <f aca="false">IF(AND($A37&gt;=參數與用量計算!$B$14,$A37&lt;=參數與用量計算!$B$19-6),"●","")</f>
        <v/>
      </c>
      <c r="J37" s="23" t="str">
        <f aca="false">IF(AND($A37&gt;=參數與用量計算!$B$15,MOD($A37-參數與用量計算!$B$15,參數與用量計算!$B$16)=0,($A37-參數與用量計算!$B$15)/參數與用量計算!$B$16&lt;參數與用量計算!$B$17),"●","")</f>
        <v/>
      </c>
      <c r="K37" s="23" t="str">
        <f aca="false">IF(AND($A37&gt;=參數與用量計算!$B$14,$A37&lt;=參數與用量計算!$B$19-6),"●","")</f>
        <v/>
      </c>
      <c r="L37" s="23" t="str">
        <f aca="false">IF(AND($A37&gt;=-1,$A37&lt;=參數與用量計算!$B$19),"●","")</f>
        <v>●</v>
      </c>
      <c r="M37" s="23" t="str">
        <f aca="false">IF(AND($A37&gt;=參數與用量計算!$B$18,$A37&lt;=參數與用量計算!$B$19),"●","")</f>
        <v>●</v>
      </c>
      <c r="N37" s="23" t="str">
        <f aca="false">IF(AND($A37&gt;=參數與用量計算!$B$18,$A37&lt;=參數與用量計算!$B$19),"●","")</f>
        <v>●</v>
      </c>
      <c r="O37" s="23" t="str">
        <f aca="false">IF($A37=參數與用量計算!$B$19-6,"★","")</f>
        <v/>
      </c>
      <c r="P37" s="23" t="str">
        <f aca="false">IF(OR($A37=參數與用量計算!$B$19+1,$A37=-8),"★","")</f>
        <v/>
      </c>
      <c r="Q37" s="24" t="n">
        <f aca="false">COUNTIF(階段工作清單!$C$4:$C$39,$A37)</f>
        <v>0</v>
      </c>
      <c r="R37" s="4"/>
    </row>
    <row r="38" customFormat="false" ht="15" hidden="false" customHeight="false" outlineLevel="0" collapsed="false">
      <c r="A38" s="24" t="n">
        <v>26</v>
      </c>
      <c r="B38" s="39" t="n">
        <f aca="false">參數與用量計算!$B$4+$A38*7</f>
        <v>46492</v>
      </c>
      <c r="C38" s="39" t="n">
        <f aca="false">B38+6</f>
        <v>46498</v>
      </c>
      <c r="D38" s="23" t="str">
        <f aca="false">IF($A38&lt;0,"作前準備",IF($A38&lt;=1,"定植緩苗",IF($A38&lt;參數與用量計算!$B$14,"營養生長",IF($A38&lt;參數與用量計算!$B$18,"開花著果",IF($A38&lt;=參數與用量計算!$B$19,"採收期",IF($A38=參數與用量計算!$B$19+1,"清園","作後休閒"))))))</f>
        <v>採收期</v>
      </c>
      <c r="E38" s="23" t="str">
        <f aca="false">IF(OR($A38=-MAX(參數與用量計算!$B$13,2),$A38=0),"★","")</f>
        <v/>
      </c>
      <c r="F38" s="23" t="str">
        <f aca="false">IF(OR($A38=-3,$A38=-2),"●","")</f>
        <v/>
      </c>
      <c r="G38" s="23" t="str">
        <f aca="false">IF($A38=0,"★","")</f>
        <v/>
      </c>
      <c r="H38" s="23" t="str">
        <f aca="false">IF(AND($A38&gt;=1,$A38&lt;=參數與用量計算!$B$19-6),"●","")</f>
        <v/>
      </c>
      <c r="I38" s="23" t="str">
        <f aca="false">IF(AND($A38&gt;=參數與用量計算!$B$14,$A38&lt;=參數與用量計算!$B$19-6),"●","")</f>
        <v/>
      </c>
      <c r="J38" s="23" t="str">
        <f aca="false">IF(AND($A38&gt;=參數與用量計算!$B$15,MOD($A38-參數與用量計算!$B$15,參數與用量計算!$B$16)=0,($A38-參數與用量計算!$B$15)/參數與用量計算!$B$16&lt;參數與用量計算!$B$17),"●","")</f>
        <v/>
      </c>
      <c r="K38" s="23" t="str">
        <f aca="false">IF(AND($A38&gt;=參數與用量計算!$B$14,$A38&lt;=參數與用量計算!$B$19-6),"●","")</f>
        <v/>
      </c>
      <c r="L38" s="23" t="str">
        <f aca="false">IF(AND($A38&gt;=-1,$A38&lt;=參數與用量計算!$B$19),"●","")</f>
        <v>●</v>
      </c>
      <c r="M38" s="23" t="str">
        <f aca="false">IF(AND($A38&gt;=參數與用量計算!$B$18,$A38&lt;=參數與用量計算!$B$19),"●","")</f>
        <v>●</v>
      </c>
      <c r="N38" s="23" t="str">
        <f aca="false">IF(AND($A38&gt;=參數與用量計算!$B$18,$A38&lt;=參數與用量計算!$B$19),"●","")</f>
        <v>●</v>
      </c>
      <c r="O38" s="23" t="str">
        <f aca="false">IF($A38=參數與用量計算!$B$19-6,"★","")</f>
        <v/>
      </c>
      <c r="P38" s="23" t="str">
        <f aca="false">IF(OR($A38=參數與用量計算!$B$19+1,$A38=-8),"★","")</f>
        <v/>
      </c>
      <c r="Q38" s="24" t="n">
        <f aca="false">COUNTIF(階段工作清單!$C$4:$C$39,$A38)</f>
        <v>0</v>
      </c>
      <c r="R38" s="4"/>
    </row>
    <row r="39" customFormat="false" ht="15" hidden="false" customHeight="false" outlineLevel="0" collapsed="false">
      <c r="A39" s="24" t="n">
        <v>27</v>
      </c>
      <c r="B39" s="39" t="n">
        <f aca="false">參數與用量計算!$B$4+$A39*7</f>
        <v>46499</v>
      </c>
      <c r="C39" s="39" t="n">
        <f aca="false">B39+6</f>
        <v>46505</v>
      </c>
      <c r="D39" s="23" t="str">
        <f aca="false">IF($A39&lt;0,"作前準備",IF($A39&lt;=1,"定植緩苗",IF($A39&lt;參數與用量計算!$B$14,"營養生長",IF($A39&lt;參數與用量計算!$B$18,"開花著果",IF($A39&lt;=參數與用量計算!$B$19,"採收期",IF($A39=參數與用量計算!$B$19+1,"清園","作後休閒"))))))</f>
        <v>採收期</v>
      </c>
      <c r="E39" s="23" t="str">
        <f aca="false">IF(OR($A39=-MAX(參數與用量計算!$B$13,2),$A39=0),"★","")</f>
        <v/>
      </c>
      <c r="F39" s="23" t="str">
        <f aca="false">IF(OR($A39=-3,$A39=-2),"●","")</f>
        <v/>
      </c>
      <c r="G39" s="23" t="str">
        <f aca="false">IF($A39=0,"★","")</f>
        <v/>
      </c>
      <c r="H39" s="23" t="str">
        <f aca="false">IF(AND($A39&gt;=1,$A39&lt;=參數與用量計算!$B$19-6),"●","")</f>
        <v/>
      </c>
      <c r="I39" s="23" t="str">
        <f aca="false">IF(AND($A39&gt;=參數與用量計算!$B$14,$A39&lt;=參數與用量計算!$B$19-6),"●","")</f>
        <v/>
      </c>
      <c r="J39" s="23" t="str">
        <f aca="false">IF(AND($A39&gt;=參數與用量計算!$B$15,MOD($A39-參數與用量計算!$B$15,參數與用量計算!$B$16)=0,($A39-參數與用量計算!$B$15)/參數與用量計算!$B$16&lt;參數與用量計算!$B$17),"●","")</f>
        <v/>
      </c>
      <c r="K39" s="23" t="str">
        <f aca="false">IF(AND($A39&gt;=參數與用量計算!$B$14,$A39&lt;=參數與用量計算!$B$19-6),"●","")</f>
        <v/>
      </c>
      <c r="L39" s="23" t="str">
        <f aca="false">IF(AND($A39&gt;=-1,$A39&lt;=參數與用量計算!$B$19),"●","")</f>
        <v>●</v>
      </c>
      <c r="M39" s="23" t="str">
        <f aca="false">IF(AND($A39&gt;=參數與用量計算!$B$18,$A39&lt;=參數與用量計算!$B$19),"●","")</f>
        <v>●</v>
      </c>
      <c r="N39" s="23" t="str">
        <f aca="false">IF(AND($A39&gt;=參數與用量計算!$B$18,$A39&lt;=參數與用量計算!$B$19),"●","")</f>
        <v>●</v>
      </c>
      <c r="O39" s="23" t="str">
        <f aca="false">IF($A39=參數與用量計算!$B$19-6,"★","")</f>
        <v/>
      </c>
      <c r="P39" s="23" t="str">
        <f aca="false">IF(OR($A39=參數與用量計算!$B$19+1,$A39=-8),"★","")</f>
        <v/>
      </c>
      <c r="Q39" s="24" t="n">
        <f aca="false">COUNTIF(階段工作清單!$C$4:$C$39,$A39)</f>
        <v>0</v>
      </c>
      <c r="R39" s="4"/>
    </row>
    <row r="40" customFormat="false" ht="15" hidden="false" customHeight="false" outlineLevel="0" collapsed="false">
      <c r="A40" s="24" t="n">
        <v>28</v>
      </c>
      <c r="B40" s="39" t="n">
        <f aca="false">參數與用量計算!$B$4+$A40*7</f>
        <v>46506</v>
      </c>
      <c r="C40" s="39" t="n">
        <f aca="false">B40+6</f>
        <v>46512</v>
      </c>
      <c r="D40" s="23" t="str">
        <f aca="false">IF($A40&lt;0,"作前準備",IF($A40&lt;=1,"定植緩苗",IF($A40&lt;參數與用量計算!$B$14,"營養生長",IF($A40&lt;參數與用量計算!$B$18,"開花著果",IF($A40&lt;=參數與用量計算!$B$19,"採收期",IF($A40=參數與用量計算!$B$19+1,"清園","作後休閒"))))))</f>
        <v>採收期</v>
      </c>
      <c r="E40" s="23" t="str">
        <f aca="false">IF(OR($A40=-MAX(參數與用量計算!$B$13,2),$A40=0),"★","")</f>
        <v/>
      </c>
      <c r="F40" s="23" t="str">
        <f aca="false">IF(OR($A40=-3,$A40=-2),"●","")</f>
        <v/>
      </c>
      <c r="G40" s="23" t="str">
        <f aca="false">IF($A40=0,"★","")</f>
        <v/>
      </c>
      <c r="H40" s="23" t="str">
        <f aca="false">IF(AND($A40&gt;=1,$A40&lt;=參數與用量計算!$B$19-6),"●","")</f>
        <v/>
      </c>
      <c r="I40" s="23" t="str">
        <f aca="false">IF(AND($A40&gt;=參數與用量計算!$B$14,$A40&lt;=參數與用量計算!$B$19-6),"●","")</f>
        <v/>
      </c>
      <c r="J40" s="23" t="str">
        <f aca="false">IF(AND($A40&gt;=參數與用量計算!$B$15,MOD($A40-參數與用量計算!$B$15,參數與用量計算!$B$16)=0,($A40-參數與用量計算!$B$15)/參數與用量計算!$B$16&lt;參數與用量計算!$B$17),"●","")</f>
        <v/>
      </c>
      <c r="K40" s="23" t="str">
        <f aca="false">IF(AND($A40&gt;=參數與用量計算!$B$14,$A40&lt;=參數與用量計算!$B$19-6),"●","")</f>
        <v/>
      </c>
      <c r="L40" s="23" t="str">
        <f aca="false">IF(AND($A40&gt;=-1,$A40&lt;=參數與用量計算!$B$19),"●","")</f>
        <v>●</v>
      </c>
      <c r="M40" s="23" t="str">
        <f aca="false">IF(AND($A40&gt;=參數與用量計算!$B$18,$A40&lt;=參數與用量計算!$B$19),"●","")</f>
        <v>●</v>
      </c>
      <c r="N40" s="23" t="str">
        <f aca="false">IF(AND($A40&gt;=參數與用量計算!$B$18,$A40&lt;=參數與用量計算!$B$19),"●","")</f>
        <v>●</v>
      </c>
      <c r="O40" s="23" t="str">
        <f aca="false">IF($A40=參數與用量計算!$B$19-6,"★","")</f>
        <v/>
      </c>
      <c r="P40" s="23" t="str">
        <f aca="false">IF(OR($A40=參數與用量計算!$B$19+1,$A40=-8),"★","")</f>
        <v/>
      </c>
      <c r="Q40" s="24" t="n">
        <f aca="false">COUNTIF(階段工作清單!$C$4:$C$39,$A40)</f>
        <v>0</v>
      </c>
      <c r="R40" s="4"/>
    </row>
    <row r="41" customFormat="false" ht="15" hidden="false" customHeight="false" outlineLevel="0" collapsed="false">
      <c r="A41" s="24" t="n">
        <v>29</v>
      </c>
      <c r="B41" s="39" t="n">
        <f aca="false">參數與用量計算!$B$4+$A41*7</f>
        <v>46513</v>
      </c>
      <c r="C41" s="39" t="n">
        <f aca="false">B41+6</f>
        <v>46519</v>
      </c>
      <c r="D41" s="23" t="str">
        <f aca="false">IF($A41&lt;0,"作前準備",IF($A41&lt;=1,"定植緩苗",IF($A41&lt;參數與用量計算!$B$14,"營養生長",IF($A41&lt;參數與用量計算!$B$18,"開花著果",IF($A41&lt;=參數與用量計算!$B$19,"採收期",IF($A41=參數與用量計算!$B$19+1,"清園","作後休閒"))))))</f>
        <v>採收期</v>
      </c>
      <c r="E41" s="23" t="str">
        <f aca="false">IF(OR($A41=-MAX(參數與用量計算!$B$13,2),$A41=0),"★","")</f>
        <v/>
      </c>
      <c r="F41" s="23" t="str">
        <f aca="false">IF(OR($A41=-3,$A41=-2),"●","")</f>
        <v/>
      </c>
      <c r="G41" s="23" t="str">
        <f aca="false">IF($A41=0,"★","")</f>
        <v/>
      </c>
      <c r="H41" s="23" t="str">
        <f aca="false">IF(AND($A41&gt;=1,$A41&lt;=參數與用量計算!$B$19-6),"●","")</f>
        <v/>
      </c>
      <c r="I41" s="23" t="str">
        <f aca="false">IF(AND($A41&gt;=參數與用量計算!$B$14,$A41&lt;=參數與用量計算!$B$19-6),"●","")</f>
        <v/>
      </c>
      <c r="J41" s="23" t="str">
        <f aca="false">IF(AND($A41&gt;=參數與用量計算!$B$15,MOD($A41-參數與用量計算!$B$15,參數與用量計算!$B$16)=0,($A41-參數與用量計算!$B$15)/參數與用量計算!$B$16&lt;參數與用量計算!$B$17),"●","")</f>
        <v/>
      </c>
      <c r="K41" s="23" t="str">
        <f aca="false">IF(AND($A41&gt;=參數與用量計算!$B$14,$A41&lt;=參數與用量計算!$B$19-6),"●","")</f>
        <v/>
      </c>
      <c r="L41" s="23" t="str">
        <f aca="false">IF(AND($A41&gt;=-1,$A41&lt;=參數與用量計算!$B$19),"●","")</f>
        <v>●</v>
      </c>
      <c r="M41" s="23" t="str">
        <f aca="false">IF(AND($A41&gt;=參數與用量計算!$B$18,$A41&lt;=參數與用量計算!$B$19),"●","")</f>
        <v>●</v>
      </c>
      <c r="N41" s="23" t="str">
        <f aca="false">IF(AND($A41&gt;=參數與用量計算!$B$18,$A41&lt;=參數與用量計算!$B$19),"●","")</f>
        <v>●</v>
      </c>
      <c r="O41" s="23" t="str">
        <f aca="false">IF($A41=參數與用量計算!$B$19-6,"★","")</f>
        <v/>
      </c>
      <c r="P41" s="23" t="str">
        <f aca="false">IF(OR($A41=參數與用量計算!$B$19+1,$A41=-8),"★","")</f>
        <v/>
      </c>
      <c r="Q41" s="24" t="n">
        <f aca="false">COUNTIF(階段工作清單!$C$4:$C$39,$A41)</f>
        <v>0</v>
      </c>
      <c r="R41" s="4"/>
    </row>
    <row r="42" customFormat="false" ht="15" hidden="false" customHeight="false" outlineLevel="0" collapsed="false">
      <c r="A42" s="24" t="n">
        <v>30</v>
      </c>
      <c r="B42" s="39" t="n">
        <f aca="false">參數與用量計算!$B$4+$A42*7</f>
        <v>46520</v>
      </c>
      <c r="C42" s="39" t="n">
        <f aca="false">B42+6</f>
        <v>46526</v>
      </c>
      <c r="D42" s="23" t="str">
        <f aca="false">IF($A42&lt;0,"作前準備",IF($A42&lt;=1,"定植緩苗",IF($A42&lt;參數與用量計算!$B$14,"營養生長",IF($A42&lt;參數與用量計算!$B$18,"開花著果",IF($A42&lt;=參數與用量計算!$B$19,"採收期",IF($A42=參數與用量計算!$B$19+1,"清園","作後休閒"))))))</f>
        <v>採收期</v>
      </c>
      <c r="E42" s="23" t="str">
        <f aca="false">IF(OR($A42=-MAX(參數與用量計算!$B$13,2),$A42=0),"★","")</f>
        <v/>
      </c>
      <c r="F42" s="23" t="str">
        <f aca="false">IF(OR($A42=-3,$A42=-2),"●","")</f>
        <v/>
      </c>
      <c r="G42" s="23" t="str">
        <f aca="false">IF($A42=0,"★","")</f>
        <v/>
      </c>
      <c r="H42" s="23" t="str">
        <f aca="false">IF(AND($A42&gt;=1,$A42&lt;=參數與用量計算!$B$19-6),"●","")</f>
        <v/>
      </c>
      <c r="I42" s="23" t="str">
        <f aca="false">IF(AND($A42&gt;=參數與用量計算!$B$14,$A42&lt;=參數與用量計算!$B$19-6),"●","")</f>
        <v/>
      </c>
      <c r="J42" s="23" t="str">
        <f aca="false">IF(AND($A42&gt;=參數與用量計算!$B$15,MOD($A42-參數與用量計算!$B$15,參數與用量計算!$B$16)=0,($A42-參數與用量計算!$B$15)/參數與用量計算!$B$16&lt;參數與用量計算!$B$17),"●","")</f>
        <v/>
      </c>
      <c r="K42" s="23" t="str">
        <f aca="false">IF(AND($A42&gt;=參數與用量計算!$B$14,$A42&lt;=參數與用量計算!$B$19-6),"●","")</f>
        <v/>
      </c>
      <c r="L42" s="23" t="str">
        <f aca="false">IF(AND($A42&gt;=-1,$A42&lt;=參數與用量計算!$B$19),"●","")</f>
        <v>●</v>
      </c>
      <c r="M42" s="23" t="str">
        <f aca="false">IF(AND($A42&gt;=參數與用量計算!$B$18,$A42&lt;=參數與用量計算!$B$19),"●","")</f>
        <v>●</v>
      </c>
      <c r="N42" s="23" t="str">
        <f aca="false">IF(AND($A42&gt;=參數與用量計算!$B$18,$A42&lt;=參數與用量計算!$B$19),"●","")</f>
        <v>●</v>
      </c>
      <c r="O42" s="23" t="str">
        <f aca="false">IF($A42=參數與用量計算!$B$19-6,"★","")</f>
        <v/>
      </c>
      <c r="P42" s="23" t="str">
        <f aca="false">IF(OR($A42=參數與用量計算!$B$19+1,$A42=-8),"★","")</f>
        <v/>
      </c>
      <c r="Q42" s="24" t="n">
        <f aca="false">COUNTIF(階段工作清單!$C$4:$C$39,$A42)</f>
        <v>0</v>
      </c>
      <c r="R42" s="4"/>
    </row>
    <row r="43" customFormat="false" ht="15" hidden="false" customHeight="false" outlineLevel="0" collapsed="false">
      <c r="A43" s="24" t="n">
        <v>31</v>
      </c>
      <c r="B43" s="39" t="n">
        <f aca="false">參數與用量計算!$B$4+$A43*7</f>
        <v>46527</v>
      </c>
      <c r="C43" s="39" t="n">
        <f aca="false">B43+6</f>
        <v>46533</v>
      </c>
      <c r="D43" s="23" t="str">
        <f aca="false">IF($A43&lt;0,"作前準備",IF($A43&lt;=1,"定植緩苗",IF($A43&lt;參數與用量計算!$B$14,"營養生長",IF($A43&lt;參數與用量計算!$B$18,"開花著果",IF($A43&lt;=參數與用量計算!$B$19,"採收期",IF($A43=參數與用量計算!$B$19+1,"清園","作後休閒"))))))</f>
        <v>清園</v>
      </c>
      <c r="E43" s="23" t="str">
        <f aca="false">IF(OR($A43=-MAX(參數與用量計算!$B$13,2),$A43=0),"★","")</f>
        <v/>
      </c>
      <c r="F43" s="23" t="str">
        <f aca="false">IF(OR($A43=-3,$A43=-2),"●","")</f>
        <v/>
      </c>
      <c r="G43" s="23" t="str">
        <f aca="false">IF($A43=0,"★","")</f>
        <v/>
      </c>
      <c r="H43" s="23" t="str">
        <f aca="false">IF(AND($A43&gt;=1,$A43&lt;=參數與用量計算!$B$19-6),"●","")</f>
        <v/>
      </c>
      <c r="I43" s="23" t="str">
        <f aca="false">IF(AND($A43&gt;=參數與用量計算!$B$14,$A43&lt;=參數與用量計算!$B$19-6),"●","")</f>
        <v/>
      </c>
      <c r="J43" s="23" t="str">
        <f aca="false">IF(AND($A43&gt;=參數與用量計算!$B$15,MOD($A43-參數與用量計算!$B$15,參數與用量計算!$B$16)=0,($A43-參數與用量計算!$B$15)/參數與用量計算!$B$16&lt;參數與用量計算!$B$17),"●","")</f>
        <v/>
      </c>
      <c r="K43" s="23" t="str">
        <f aca="false">IF(AND($A43&gt;=參數與用量計算!$B$14,$A43&lt;=參數與用量計算!$B$19-6),"●","")</f>
        <v/>
      </c>
      <c r="L43" s="23" t="str">
        <f aca="false">IF(AND($A43&gt;=-1,$A43&lt;=參數與用量計算!$B$19),"●","")</f>
        <v/>
      </c>
      <c r="M43" s="23" t="str">
        <f aca="false">IF(AND($A43&gt;=參數與用量計算!$B$18,$A43&lt;=參數與用量計算!$B$19),"●","")</f>
        <v/>
      </c>
      <c r="N43" s="23" t="str">
        <f aca="false">IF(AND($A43&gt;=參數與用量計算!$B$18,$A43&lt;=參數與用量計算!$B$19),"●","")</f>
        <v/>
      </c>
      <c r="O43" s="23" t="str">
        <f aca="false">IF($A43=參數與用量計算!$B$19-6,"★","")</f>
        <v/>
      </c>
      <c r="P43" s="23" t="str">
        <f aca="false">IF(OR($A43=參數與用量計算!$B$19+1,$A43=-8),"★","")</f>
        <v>★</v>
      </c>
      <c r="Q43" s="24" t="n">
        <f aca="false">COUNTIF(階段工作清單!$C$4:$C$39,$A43)</f>
        <v>3</v>
      </c>
      <c r="R43" s="4"/>
    </row>
    <row r="44" customFormat="false" ht="15" hidden="false" customHeight="false" outlineLevel="0" collapsed="false">
      <c r="A44" s="24" t="n">
        <v>32</v>
      </c>
      <c r="B44" s="39" t="n">
        <f aca="false">參數與用量計算!$B$4+$A44*7</f>
        <v>46534</v>
      </c>
      <c r="C44" s="39" t="n">
        <f aca="false">B44+6</f>
        <v>46540</v>
      </c>
      <c r="D44" s="23" t="str">
        <f aca="false">IF($A44&lt;0,"作前準備",IF($A44&lt;=1,"定植緩苗",IF($A44&lt;參數與用量計算!$B$14,"營養生長",IF($A44&lt;參數與用量計算!$B$18,"開花著果",IF($A44&lt;=參數與用量計算!$B$19,"採收期",IF($A44=參數與用量計算!$B$19+1,"清園","作後休閒"))))))</f>
        <v>作後休閒</v>
      </c>
      <c r="E44" s="23" t="str">
        <f aca="false">IF(OR($A44=-MAX(參數與用量計算!$B$13,2),$A44=0),"★","")</f>
        <v/>
      </c>
      <c r="F44" s="23" t="str">
        <f aca="false">IF(OR($A44=-3,$A44=-2),"●","")</f>
        <v/>
      </c>
      <c r="G44" s="23" t="str">
        <f aca="false">IF($A44=0,"★","")</f>
        <v/>
      </c>
      <c r="H44" s="23" t="str">
        <f aca="false">IF(AND($A44&gt;=1,$A44&lt;=參數與用量計算!$B$19-6),"●","")</f>
        <v/>
      </c>
      <c r="I44" s="23" t="str">
        <f aca="false">IF(AND($A44&gt;=參數與用量計算!$B$14,$A44&lt;=參數與用量計算!$B$19-6),"●","")</f>
        <v/>
      </c>
      <c r="J44" s="23" t="str">
        <f aca="false">IF(AND($A44&gt;=參數與用量計算!$B$15,MOD($A44-參數與用量計算!$B$15,參數與用量計算!$B$16)=0,($A44-參數與用量計算!$B$15)/參數與用量計算!$B$16&lt;參數與用量計算!$B$17),"●","")</f>
        <v/>
      </c>
      <c r="K44" s="23" t="str">
        <f aca="false">IF(AND($A44&gt;=參數與用量計算!$B$14,$A44&lt;=參數與用量計算!$B$19-6),"●","")</f>
        <v/>
      </c>
      <c r="L44" s="23" t="str">
        <f aca="false">IF(AND($A44&gt;=-1,$A44&lt;=參數與用量計算!$B$19),"●","")</f>
        <v/>
      </c>
      <c r="M44" s="23" t="str">
        <f aca="false">IF(AND($A44&gt;=參數與用量計算!$B$18,$A44&lt;=參數與用量計算!$B$19),"●","")</f>
        <v/>
      </c>
      <c r="N44" s="23" t="str">
        <f aca="false">IF(AND($A44&gt;=參數與用量計算!$B$18,$A44&lt;=參數與用量計算!$B$19),"●","")</f>
        <v/>
      </c>
      <c r="O44" s="23" t="str">
        <f aca="false">IF($A44=參數與用量計算!$B$19-6,"★","")</f>
        <v/>
      </c>
      <c r="P44" s="23" t="str">
        <f aca="false">IF(OR($A44=參數與用量計算!$B$19+1,$A44=-8),"★","")</f>
        <v/>
      </c>
      <c r="Q44" s="24" t="n">
        <f aca="false">COUNTIF(階段工作清單!$C$4:$C$39,$A44)</f>
        <v>0</v>
      </c>
      <c r="R44" s="4"/>
    </row>
    <row r="46" customFormat="false" ht="288.75" hidden="false" customHeight="true" outlineLevel="0" collapsed="false">
      <c r="A46" s="26" t="s">
        <v>387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</row>
  </sheetData>
  <mergeCells count="1">
    <mergeCell ref="A46:R46"/>
  </mergeCells>
  <conditionalFormatting sqref="E4:P44">
    <cfRule type="expression" priority="2" aboveAverage="0" equalAverage="0" bottom="0" percent="0" rank="0" text="" dxfId="11">
      <formula>E4="●"</formula>
    </cfRule>
    <cfRule type="expression" priority="3" aboveAverage="0" equalAverage="0" bottom="0" percent="0" rank="0" text="" dxfId="12">
      <formula>E4="★"</formula>
    </cfRule>
  </conditionalFormatting>
  <conditionalFormatting sqref="A4:D44">
    <cfRule type="expression" priority="4" aboveAverage="0" equalAverage="0" bottom="0" percent="0" rank="0" text="" dxfId="13">
      <formula>$A4=0</formula>
    </cfRule>
  </conditionalFormatting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5" min="4" style="0" width="9"/>
    <col collapsed="false" customWidth="true" hidden="false" outlineLevel="0" max="12" min="6" style="0" width="4"/>
    <col collapsed="false" customWidth="true" hidden="false" outlineLevel="0" max="13" min="13" style="0" width="24"/>
  </cols>
  <sheetData>
    <row r="1" customFormat="false" ht="23.85" hidden="false" customHeight="false" outlineLevel="0" collapsed="false">
      <c r="A1" s="1" t="s">
        <v>388</v>
      </c>
    </row>
    <row r="2" customFormat="false" ht="15" hidden="false" customHeight="false" outlineLevel="0" collapsed="false">
      <c r="A2" s="2" t="s">
        <v>389</v>
      </c>
    </row>
    <row r="3" customFormat="false" ht="30" hidden="false" customHeight="true" outlineLevel="0" collapsed="false">
      <c r="A3" s="7" t="s">
        <v>163</v>
      </c>
      <c r="B3" s="7" t="s">
        <v>390</v>
      </c>
      <c r="C3" s="7" t="s">
        <v>391</v>
      </c>
      <c r="D3" s="7" t="s">
        <v>168</v>
      </c>
      <c r="E3" s="7" t="s">
        <v>169</v>
      </c>
      <c r="F3" s="7" t="s">
        <v>392</v>
      </c>
      <c r="G3" s="7" t="s">
        <v>393</v>
      </c>
      <c r="H3" s="7" t="s">
        <v>394</v>
      </c>
      <c r="I3" s="7" t="s">
        <v>395</v>
      </c>
      <c r="J3" s="7" t="s">
        <v>396</v>
      </c>
      <c r="K3" s="7" t="s">
        <v>397</v>
      </c>
      <c r="L3" s="7" t="s">
        <v>398</v>
      </c>
      <c r="M3" s="7" t="s">
        <v>399</v>
      </c>
    </row>
    <row r="4" customFormat="false" ht="48.75" hidden="false" customHeight="true" outlineLevel="0" collapsed="false">
      <c r="A4" s="40" t="s">
        <v>242</v>
      </c>
      <c r="B4" s="5" t="s">
        <v>400</v>
      </c>
      <c r="C4" s="4" t="s">
        <v>401</v>
      </c>
      <c r="D4" s="29" t="s">
        <v>402</v>
      </c>
      <c r="E4" s="23"/>
      <c r="F4" s="23"/>
      <c r="G4" s="23"/>
      <c r="H4" s="23"/>
      <c r="I4" s="23"/>
      <c r="J4" s="23"/>
      <c r="K4" s="23"/>
      <c r="L4" s="23"/>
      <c r="M4" s="23"/>
    </row>
    <row r="5" customFormat="false" ht="33.75" hidden="false" customHeight="true" outlineLevel="0" collapsed="false">
      <c r="A5" s="40" t="s">
        <v>242</v>
      </c>
      <c r="B5" s="5" t="s">
        <v>403</v>
      </c>
      <c r="C5" s="4" t="s">
        <v>404</v>
      </c>
      <c r="D5" s="29" t="s">
        <v>405</v>
      </c>
      <c r="E5" s="23"/>
      <c r="F5" s="23"/>
      <c r="G5" s="23"/>
      <c r="H5" s="23"/>
      <c r="I5" s="23"/>
      <c r="J5" s="23"/>
      <c r="K5" s="23"/>
      <c r="L5" s="23"/>
      <c r="M5" s="23"/>
    </row>
    <row r="6" customFormat="false" ht="33.75" hidden="false" customHeight="true" outlineLevel="0" collapsed="false">
      <c r="A6" s="40" t="s">
        <v>242</v>
      </c>
      <c r="B6" s="5" t="s">
        <v>406</v>
      </c>
      <c r="C6" s="4" t="s">
        <v>407</v>
      </c>
      <c r="D6" s="29" t="s">
        <v>204</v>
      </c>
      <c r="E6" s="23"/>
      <c r="F6" s="23"/>
      <c r="G6" s="23"/>
      <c r="H6" s="23"/>
      <c r="I6" s="23"/>
      <c r="J6" s="23"/>
      <c r="K6" s="23"/>
      <c r="L6" s="23"/>
      <c r="M6" s="23"/>
    </row>
    <row r="7" customFormat="false" ht="33.75" hidden="false" customHeight="true" outlineLevel="0" collapsed="false">
      <c r="A7" s="40" t="s">
        <v>242</v>
      </c>
      <c r="B7" s="5" t="s">
        <v>408</v>
      </c>
      <c r="C7" s="4" t="s">
        <v>409</v>
      </c>
      <c r="D7" s="29" t="s">
        <v>410</v>
      </c>
      <c r="E7" s="23"/>
      <c r="F7" s="23"/>
      <c r="G7" s="23"/>
      <c r="H7" s="23"/>
      <c r="I7" s="23"/>
      <c r="J7" s="23"/>
      <c r="K7" s="23"/>
      <c r="L7" s="23"/>
      <c r="M7" s="23"/>
    </row>
    <row r="8" customFormat="false" ht="15" hidden="false" customHeight="false" outlineLevel="0" collapsed="false">
      <c r="A8" s="40" t="s">
        <v>411</v>
      </c>
      <c r="B8" s="5" t="s">
        <v>412</v>
      </c>
      <c r="C8" s="4" t="s">
        <v>413</v>
      </c>
      <c r="D8" s="29" t="s">
        <v>188</v>
      </c>
      <c r="E8" s="23"/>
      <c r="F8" s="23"/>
      <c r="G8" s="23"/>
      <c r="H8" s="23"/>
      <c r="I8" s="23"/>
      <c r="J8" s="23"/>
      <c r="K8" s="23"/>
      <c r="L8" s="23"/>
      <c r="M8" s="23"/>
    </row>
    <row r="9" customFormat="false" ht="15" hidden="false" customHeight="false" outlineLevel="0" collapsed="false">
      <c r="A9" s="40" t="s">
        <v>270</v>
      </c>
      <c r="B9" s="5" t="s">
        <v>414</v>
      </c>
      <c r="C9" s="4" t="s">
        <v>415</v>
      </c>
      <c r="D9" s="29" t="s">
        <v>416</v>
      </c>
      <c r="E9" s="23"/>
      <c r="F9" s="23"/>
      <c r="G9" s="23"/>
      <c r="H9" s="23"/>
      <c r="I9" s="23"/>
      <c r="J9" s="23"/>
      <c r="K9" s="23"/>
      <c r="L9" s="23"/>
      <c r="M9" s="23"/>
    </row>
    <row r="10" customFormat="false" ht="26.85" hidden="false" customHeight="false" outlineLevel="0" collapsed="false">
      <c r="A10" s="40" t="s">
        <v>253</v>
      </c>
      <c r="B10" s="5" t="s">
        <v>264</v>
      </c>
      <c r="C10" s="4" t="s">
        <v>417</v>
      </c>
      <c r="D10" s="29" t="s">
        <v>267</v>
      </c>
      <c r="E10" s="23"/>
      <c r="F10" s="23"/>
      <c r="G10" s="23"/>
      <c r="H10" s="23"/>
      <c r="I10" s="23"/>
      <c r="J10" s="23"/>
      <c r="K10" s="23"/>
      <c r="L10" s="23"/>
      <c r="M10" s="23"/>
    </row>
    <row r="11" customFormat="false" ht="26.85" hidden="false" customHeight="false" outlineLevel="0" collapsed="false">
      <c r="A11" s="40" t="s">
        <v>253</v>
      </c>
      <c r="B11" s="5" t="s">
        <v>418</v>
      </c>
      <c r="C11" s="4" t="s">
        <v>419</v>
      </c>
      <c r="D11" s="29" t="s">
        <v>257</v>
      </c>
      <c r="E11" s="23"/>
      <c r="F11" s="23"/>
      <c r="G11" s="23"/>
      <c r="H11" s="23"/>
      <c r="I11" s="23"/>
      <c r="J11" s="23"/>
      <c r="K11" s="23"/>
      <c r="L11" s="23"/>
      <c r="M11" s="23"/>
    </row>
    <row r="12" customFormat="false" ht="26.85" hidden="false" customHeight="false" outlineLevel="0" collapsed="false">
      <c r="A12" s="40" t="s">
        <v>253</v>
      </c>
      <c r="B12" s="5" t="s">
        <v>313</v>
      </c>
      <c r="C12" s="4" t="s">
        <v>420</v>
      </c>
      <c r="D12" s="29" t="s">
        <v>316</v>
      </c>
      <c r="E12" s="23"/>
      <c r="F12" s="23"/>
      <c r="G12" s="23"/>
      <c r="H12" s="23"/>
      <c r="I12" s="23"/>
      <c r="J12" s="23"/>
      <c r="K12" s="23"/>
      <c r="L12" s="23"/>
      <c r="M12" s="23"/>
    </row>
    <row r="13" customFormat="false" ht="15" hidden="false" customHeight="false" outlineLevel="0" collapsed="false">
      <c r="A13" s="40" t="s">
        <v>253</v>
      </c>
      <c r="B13" s="5" t="s">
        <v>421</v>
      </c>
      <c r="C13" s="4" t="s">
        <v>422</v>
      </c>
      <c r="D13" s="29" t="s">
        <v>357</v>
      </c>
      <c r="E13" s="23"/>
      <c r="F13" s="23"/>
      <c r="G13" s="23"/>
      <c r="H13" s="23"/>
      <c r="I13" s="23"/>
      <c r="J13" s="23"/>
      <c r="K13" s="23"/>
      <c r="L13" s="23"/>
      <c r="M13" s="23"/>
    </row>
    <row r="14" customFormat="false" ht="15" hidden="false" customHeight="false" outlineLevel="0" collapsed="false">
      <c r="A14" s="40" t="s">
        <v>253</v>
      </c>
      <c r="B14" s="5" t="s">
        <v>423</v>
      </c>
      <c r="C14" s="4" t="s">
        <v>424</v>
      </c>
      <c r="D14" s="29" t="s">
        <v>425</v>
      </c>
      <c r="E14" s="23"/>
      <c r="F14" s="23"/>
      <c r="G14" s="23"/>
      <c r="H14" s="23"/>
      <c r="I14" s="23"/>
      <c r="J14" s="23"/>
      <c r="K14" s="23"/>
      <c r="L14" s="23"/>
      <c r="M14" s="23"/>
    </row>
    <row r="15" customFormat="false" ht="15" hidden="false" customHeight="false" outlineLevel="0" collapsed="false">
      <c r="A15" s="40" t="s">
        <v>253</v>
      </c>
      <c r="B15" s="5" t="s">
        <v>426</v>
      </c>
      <c r="C15" s="4" t="s">
        <v>427</v>
      </c>
      <c r="D15" s="29" t="s">
        <v>296</v>
      </c>
      <c r="E15" s="23"/>
      <c r="F15" s="23"/>
      <c r="G15" s="23"/>
      <c r="H15" s="23"/>
      <c r="I15" s="23"/>
      <c r="J15" s="23"/>
      <c r="K15" s="23"/>
      <c r="L15" s="23"/>
      <c r="M15" s="23"/>
    </row>
    <row r="16" customFormat="false" ht="15" hidden="false" customHeight="false" outlineLevel="0" collapsed="false">
      <c r="A16" s="40" t="s">
        <v>324</v>
      </c>
      <c r="B16" s="5" t="s">
        <v>325</v>
      </c>
      <c r="C16" s="4" t="s">
        <v>428</v>
      </c>
      <c r="D16" s="29" t="s">
        <v>429</v>
      </c>
      <c r="E16" s="23"/>
      <c r="F16" s="23"/>
      <c r="G16" s="23"/>
      <c r="H16" s="23"/>
      <c r="I16" s="23"/>
      <c r="J16" s="23"/>
      <c r="K16" s="23"/>
      <c r="L16" s="23"/>
      <c r="M16" s="23"/>
    </row>
    <row r="17" customFormat="false" ht="33.75" hidden="false" customHeight="true" outlineLevel="0" collapsed="false">
      <c r="A17" s="40" t="s">
        <v>430</v>
      </c>
      <c r="B17" s="5" t="s">
        <v>431</v>
      </c>
      <c r="C17" s="10" t="s">
        <v>432</v>
      </c>
      <c r="D17" s="29" t="s">
        <v>267</v>
      </c>
      <c r="E17" s="23"/>
      <c r="F17" s="23"/>
      <c r="G17" s="23"/>
      <c r="H17" s="23"/>
      <c r="I17" s="23"/>
      <c r="J17" s="23"/>
      <c r="K17" s="23"/>
      <c r="L17" s="23"/>
      <c r="M17" s="23"/>
    </row>
    <row r="18" customFormat="false" ht="33.75" hidden="false" customHeight="true" outlineLevel="0" collapsed="false">
      <c r="A18" s="40" t="s">
        <v>433</v>
      </c>
      <c r="B18" s="5" t="s">
        <v>434</v>
      </c>
      <c r="C18" s="4" t="s">
        <v>435</v>
      </c>
      <c r="D18" s="29" t="s">
        <v>436</v>
      </c>
      <c r="E18" s="23"/>
      <c r="F18" s="23"/>
      <c r="G18" s="23"/>
      <c r="H18" s="23"/>
      <c r="I18" s="23"/>
      <c r="J18" s="23"/>
      <c r="K18" s="23"/>
      <c r="L18" s="23"/>
      <c r="M18" s="23"/>
    </row>
    <row r="19" customFormat="false" ht="15" hidden="false" customHeight="false" outlineLevel="0" collapsed="false">
      <c r="A19" s="40" t="s">
        <v>437</v>
      </c>
      <c r="B19" s="5" t="s">
        <v>382</v>
      </c>
      <c r="C19" s="4" t="s">
        <v>438</v>
      </c>
      <c r="D19" s="29" t="s">
        <v>151</v>
      </c>
      <c r="E19" s="23"/>
      <c r="F19" s="23"/>
      <c r="G19" s="23"/>
      <c r="H19" s="23"/>
      <c r="I19" s="23"/>
      <c r="J19" s="23"/>
      <c r="K19" s="23"/>
      <c r="L19" s="23"/>
      <c r="M19" s="23"/>
    </row>
    <row r="20" customFormat="false" ht="15" hidden="false" customHeight="false" outlineLevel="0" collapsed="false">
      <c r="A20" s="40" t="s">
        <v>439</v>
      </c>
      <c r="B20" s="5" t="s">
        <v>440</v>
      </c>
      <c r="C20" s="4" t="s">
        <v>441</v>
      </c>
      <c r="D20" s="29" t="s">
        <v>188</v>
      </c>
      <c r="E20" s="23"/>
      <c r="F20" s="23"/>
      <c r="G20" s="23"/>
      <c r="H20" s="23"/>
      <c r="I20" s="23"/>
      <c r="J20" s="23"/>
      <c r="K20" s="23"/>
      <c r="L20" s="23"/>
      <c r="M20" s="23"/>
    </row>
    <row r="21" customFormat="false" ht="26.85" hidden="false" customHeight="false" outlineLevel="0" collapsed="false">
      <c r="A21" s="40" t="s">
        <v>439</v>
      </c>
      <c r="B21" s="5" t="s">
        <v>442</v>
      </c>
      <c r="C21" s="4" t="s">
        <v>443</v>
      </c>
      <c r="D21" s="29" t="s">
        <v>444</v>
      </c>
      <c r="E21" s="23"/>
      <c r="F21" s="23"/>
      <c r="G21" s="23"/>
      <c r="H21" s="23"/>
      <c r="I21" s="23"/>
      <c r="J21" s="23"/>
      <c r="K21" s="23"/>
      <c r="L21" s="23"/>
      <c r="M21" s="23"/>
    </row>
    <row r="22" customFormat="false" ht="33.75" hidden="false" customHeight="true" outlineLevel="0" collapsed="false">
      <c r="A22" s="40" t="s">
        <v>183</v>
      </c>
      <c r="B22" s="5" t="s">
        <v>445</v>
      </c>
      <c r="C22" s="4" t="s">
        <v>446</v>
      </c>
      <c r="D22" s="29" t="s">
        <v>188</v>
      </c>
      <c r="E22" s="23"/>
      <c r="F22" s="23"/>
      <c r="G22" s="23"/>
      <c r="H22" s="23"/>
      <c r="I22" s="23"/>
      <c r="J22" s="23"/>
      <c r="K22" s="23"/>
      <c r="L22" s="23"/>
      <c r="M22" s="23"/>
    </row>
    <row r="23" customFormat="false" ht="33.75" hidden="false" customHeight="true" outlineLevel="0" collapsed="false">
      <c r="A23" s="40" t="s">
        <v>447</v>
      </c>
      <c r="B23" s="5" t="s">
        <v>448</v>
      </c>
      <c r="C23" s="4" t="s">
        <v>449</v>
      </c>
      <c r="D23" s="29" t="s">
        <v>188</v>
      </c>
      <c r="E23" s="23"/>
      <c r="F23" s="23"/>
      <c r="G23" s="23"/>
      <c r="H23" s="23"/>
      <c r="I23" s="23"/>
      <c r="J23" s="23"/>
      <c r="K23" s="23"/>
      <c r="L23" s="23"/>
      <c r="M23" s="23"/>
    </row>
  </sheetData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62"/>
    <col collapsed="false" customWidth="true" hidden="false" outlineLevel="0" max="4" min="4" style="0" width="16"/>
    <col collapsed="false" customWidth="true" hidden="false" outlineLevel="0" max="6" min="5" style="0" width="10"/>
  </cols>
  <sheetData>
    <row r="1" customFormat="false" ht="19.7" hidden="false" customHeight="false" outlineLevel="0" collapsed="false">
      <c r="A1" s="1" t="s">
        <v>450</v>
      </c>
    </row>
    <row r="2" customFormat="false" ht="15" hidden="false" customHeight="false" outlineLevel="0" collapsed="false">
      <c r="A2" s="2" t="s">
        <v>451</v>
      </c>
    </row>
    <row r="3" customFormat="false" ht="30" hidden="false" customHeight="true" outlineLevel="0" collapsed="false">
      <c r="A3" s="7" t="s">
        <v>452</v>
      </c>
      <c r="B3" s="7" t="s">
        <v>31</v>
      </c>
      <c r="C3" s="7" t="s">
        <v>453</v>
      </c>
      <c r="D3" s="7" t="s">
        <v>454</v>
      </c>
      <c r="E3" s="7" t="s">
        <v>455</v>
      </c>
      <c r="F3" s="7" t="s">
        <v>168</v>
      </c>
    </row>
    <row r="4" customFormat="false" ht="15" hidden="false" customHeight="false" outlineLevel="0" collapsed="false">
      <c r="A4" s="40" t="s">
        <v>456</v>
      </c>
      <c r="B4" s="5" t="s">
        <v>457</v>
      </c>
      <c r="C4" s="10" t="s">
        <v>458</v>
      </c>
      <c r="D4" s="23" t="s">
        <v>459</v>
      </c>
      <c r="E4" s="23" t="s">
        <v>460</v>
      </c>
      <c r="F4" s="29" t="s">
        <v>351</v>
      </c>
    </row>
    <row r="5" customFormat="false" ht="33.75" hidden="false" customHeight="true" outlineLevel="0" collapsed="false">
      <c r="A5" s="40" t="s">
        <v>456</v>
      </c>
      <c r="B5" s="5" t="s">
        <v>461</v>
      </c>
      <c r="C5" s="4" t="s">
        <v>462</v>
      </c>
      <c r="D5" s="23" t="s">
        <v>347</v>
      </c>
      <c r="E5" s="23" t="s">
        <v>460</v>
      </c>
      <c r="F5" s="29" t="s">
        <v>351</v>
      </c>
    </row>
    <row r="6" customFormat="false" ht="33.75" hidden="false" customHeight="true" outlineLevel="0" collapsed="false">
      <c r="A6" s="40" t="s">
        <v>456</v>
      </c>
      <c r="B6" s="5" t="s">
        <v>463</v>
      </c>
      <c r="C6" s="10" t="s">
        <v>464</v>
      </c>
      <c r="D6" s="23" t="s">
        <v>465</v>
      </c>
      <c r="E6" s="23" t="s">
        <v>460</v>
      </c>
      <c r="F6" s="29" t="s">
        <v>466</v>
      </c>
    </row>
    <row r="7" customFormat="false" ht="33.75" hidden="false" customHeight="true" outlineLevel="0" collapsed="false">
      <c r="A7" s="40" t="s">
        <v>456</v>
      </c>
      <c r="B7" s="5" t="s">
        <v>467</v>
      </c>
      <c r="C7" s="4" t="s">
        <v>468</v>
      </c>
      <c r="D7" s="23" t="s">
        <v>469</v>
      </c>
      <c r="E7" s="23" t="s">
        <v>470</v>
      </c>
      <c r="F7" s="29" t="s">
        <v>240</v>
      </c>
    </row>
    <row r="8" customFormat="false" ht="33.75" hidden="false" customHeight="true" outlineLevel="0" collapsed="false">
      <c r="A8" s="40" t="s">
        <v>456</v>
      </c>
      <c r="B8" s="5" t="s">
        <v>471</v>
      </c>
      <c r="C8" s="4" t="s">
        <v>472</v>
      </c>
      <c r="D8" s="23" t="s">
        <v>459</v>
      </c>
      <c r="E8" s="23" t="s">
        <v>470</v>
      </c>
      <c r="F8" s="29" t="s">
        <v>204</v>
      </c>
    </row>
    <row r="9" customFormat="false" ht="15" hidden="false" customHeight="false" outlineLevel="0" collapsed="false">
      <c r="A9" s="40" t="s">
        <v>456</v>
      </c>
      <c r="B9" s="5" t="s">
        <v>473</v>
      </c>
      <c r="C9" s="4" t="s">
        <v>474</v>
      </c>
      <c r="D9" s="23" t="s">
        <v>237</v>
      </c>
      <c r="E9" s="23" t="s">
        <v>470</v>
      </c>
      <c r="F9" s="29" t="s">
        <v>240</v>
      </c>
    </row>
    <row r="10" customFormat="false" ht="15" hidden="false" customHeight="false" outlineLevel="0" collapsed="false">
      <c r="A10" s="40" t="s">
        <v>475</v>
      </c>
      <c r="B10" s="5" t="s">
        <v>476</v>
      </c>
      <c r="C10" s="4" t="s">
        <v>477</v>
      </c>
      <c r="D10" s="23" t="s">
        <v>459</v>
      </c>
      <c r="E10" s="23" t="s">
        <v>470</v>
      </c>
      <c r="F10" s="29" t="s">
        <v>478</v>
      </c>
    </row>
    <row r="11" customFormat="false" ht="33.75" hidden="false" customHeight="true" outlineLevel="0" collapsed="false">
      <c r="A11" s="40" t="s">
        <v>475</v>
      </c>
      <c r="B11" s="5" t="s">
        <v>479</v>
      </c>
      <c r="C11" s="10" t="s">
        <v>480</v>
      </c>
      <c r="D11" s="23" t="s">
        <v>465</v>
      </c>
      <c r="E11" s="23" t="s">
        <v>470</v>
      </c>
      <c r="F11" s="29" t="s">
        <v>481</v>
      </c>
    </row>
    <row r="12" customFormat="false" ht="15" hidden="false" customHeight="false" outlineLevel="0" collapsed="false">
      <c r="A12" s="40" t="s">
        <v>475</v>
      </c>
      <c r="B12" s="5" t="s">
        <v>482</v>
      </c>
      <c r="C12" s="10" t="s">
        <v>483</v>
      </c>
      <c r="D12" s="23" t="s">
        <v>459</v>
      </c>
      <c r="E12" s="23" t="s">
        <v>470</v>
      </c>
      <c r="F12" s="29" t="s">
        <v>484</v>
      </c>
    </row>
    <row r="13" customFormat="false" ht="15" hidden="false" customHeight="false" outlineLevel="0" collapsed="false">
      <c r="A13" s="40" t="s">
        <v>485</v>
      </c>
      <c r="B13" s="41" t="s">
        <v>486</v>
      </c>
      <c r="C13" s="10" t="s">
        <v>487</v>
      </c>
      <c r="D13" s="23" t="s">
        <v>488</v>
      </c>
      <c r="E13" s="23" t="s">
        <v>460</v>
      </c>
      <c r="F13" s="29" t="s">
        <v>188</v>
      </c>
    </row>
    <row r="14" customFormat="false" ht="33.75" hidden="false" customHeight="true" outlineLevel="0" collapsed="false">
      <c r="A14" s="40" t="s">
        <v>485</v>
      </c>
      <c r="B14" s="5" t="s">
        <v>489</v>
      </c>
      <c r="C14" s="4" t="s">
        <v>490</v>
      </c>
      <c r="D14" s="23" t="s">
        <v>491</v>
      </c>
      <c r="E14" s="23" t="s">
        <v>460</v>
      </c>
      <c r="F14" s="29" t="s">
        <v>492</v>
      </c>
    </row>
    <row r="15" customFormat="false" ht="15" hidden="false" customHeight="false" outlineLevel="0" collapsed="false">
      <c r="A15" s="40" t="s">
        <v>493</v>
      </c>
      <c r="B15" s="5" t="s">
        <v>494</v>
      </c>
      <c r="C15" s="10" t="s">
        <v>495</v>
      </c>
      <c r="D15" s="23" t="s">
        <v>459</v>
      </c>
      <c r="E15" s="23" t="s">
        <v>460</v>
      </c>
      <c r="F15" s="29" t="s">
        <v>188</v>
      </c>
    </row>
    <row r="16" customFormat="false" ht="15" hidden="false" customHeight="false" outlineLevel="0" collapsed="false">
      <c r="A16" s="40" t="s">
        <v>493</v>
      </c>
      <c r="B16" s="5" t="s">
        <v>496</v>
      </c>
      <c r="C16" s="4" t="s">
        <v>497</v>
      </c>
      <c r="D16" s="23" t="s">
        <v>498</v>
      </c>
      <c r="E16" s="23" t="s">
        <v>460</v>
      </c>
      <c r="F16" s="29" t="s">
        <v>188</v>
      </c>
    </row>
    <row r="17" customFormat="false" ht="15" hidden="false" customHeight="false" outlineLevel="0" collapsed="false">
      <c r="A17" s="40" t="s">
        <v>493</v>
      </c>
      <c r="B17" s="5" t="s">
        <v>499</v>
      </c>
      <c r="C17" s="4" t="s">
        <v>500</v>
      </c>
      <c r="D17" s="23" t="s">
        <v>459</v>
      </c>
      <c r="E17" s="23" t="s">
        <v>460</v>
      </c>
      <c r="F17" s="29" t="s">
        <v>188</v>
      </c>
    </row>
    <row r="18" customFormat="false" ht="15" hidden="false" customHeight="false" outlineLevel="0" collapsed="false">
      <c r="A18" s="40" t="s">
        <v>493</v>
      </c>
      <c r="B18" s="5" t="s">
        <v>501</v>
      </c>
      <c r="C18" s="4" t="s">
        <v>502</v>
      </c>
      <c r="D18" s="23" t="s">
        <v>488</v>
      </c>
      <c r="E18" s="23" t="s">
        <v>460</v>
      </c>
      <c r="F18" s="29" t="s">
        <v>151</v>
      </c>
    </row>
    <row r="19" customFormat="false" ht="15" hidden="false" customHeight="false" outlineLevel="0" collapsed="false">
      <c r="A19" s="40" t="s">
        <v>493</v>
      </c>
      <c r="B19" s="5" t="s">
        <v>503</v>
      </c>
      <c r="C19" s="4" t="s">
        <v>504</v>
      </c>
      <c r="D19" s="23" t="s">
        <v>505</v>
      </c>
      <c r="E19" s="23" t="s">
        <v>460</v>
      </c>
      <c r="F19" s="29" t="s">
        <v>151</v>
      </c>
    </row>
    <row r="20" customFormat="false" ht="33.75" hidden="false" customHeight="true" outlineLevel="0" collapsed="false">
      <c r="A20" s="40" t="s">
        <v>506</v>
      </c>
      <c r="B20" s="5" t="s">
        <v>507</v>
      </c>
      <c r="C20" s="4" t="s">
        <v>508</v>
      </c>
      <c r="D20" s="23" t="s">
        <v>509</v>
      </c>
      <c r="E20" s="23" t="s">
        <v>510</v>
      </c>
      <c r="F20" s="29" t="s">
        <v>235</v>
      </c>
    </row>
    <row r="21" customFormat="false" ht="15" hidden="false" customHeight="false" outlineLevel="0" collapsed="false">
      <c r="A21" s="40" t="s">
        <v>493</v>
      </c>
      <c r="B21" s="5" t="s">
        <v>511</v>
      </c>
      <c r="C21" s="4" t="s">
        <v>512</v>
      </c>
      <c r="D21" s="23" t="s">
        <v>347</v>
      </c>
      <c r="E21" s="23" t="s">
        <v>460</v>
      </c>
      <c r="F21" s="29" t="s">
        <v>351</v>
      </c>
    </row>
    <row r="22" customFormat="false" ht="33.75" hidden="false" customHeight="true" outlineLevel="0" collapsed="false">
      <c r="A22" s="40" t="s">
        <v>513</v>
      </c>
      <c r="B22" s="5" t="s">
        <v>514</v>
      </c>
      <c r="C22" s="4" t="s">
        <v>515</v>
      </c>
      <c r="D22" s="23" t="s">
        <v>498</v>
      </c>
      <c r="E22" s="23" t="s">
        <v>460</v>
      </c>
      <c r="F22" s="29" t="s">
        <v>516</v>
      </c>
    </row>
    <row r="23" customFormat="false" ht="15" hidden="false" customHeight="false" outlineLevel="0" collapsed="false">
      <c r="A23" s="40" t="s">
        <v>513</v>
      </c>
      <c r="B23" s="5" t="s">
        <v>517</v>
      </c>
      <c r="C23" s="4" t="s">
        <v>518</v>
      </c>
      <c r="D23" s="23" t="s">
        <v>498</v>
      </c>
      <c r="E23" s="23" t="s">
        <v>470</v>
      </c>
      <c r="F23" s="29" t="s">
        <v>240</v>
      </c>
    </row>
    <row r="24" customFormat="false" ht="15" hidden="false" customHeight="false" outlineLevel="0" collapsed="false">
      <c r="A24" s="40" t="s">
        <v>513</v>
      </c>
      <c r="B24" s="5" t="s">
        <v>519</v>
      </c>
      <c r="C24" s="4" t="s">
        <v>520</v>
      </c>
      <c r="D24" s="23" t="s">
        <v>459</v>
      </c>
      <c r="E24" s="23" t="s">
        <v>470</v>
      </c>
      <c r="F24" s="29" t="s">
        <v>204</v>
      </c>
    </row>
    <row r="25" customFormat="false" ht="15" hidden="false" customHeight="false" outlineLevel="0" collapsed="false">
      <c r="A25" s="40" t="s">
        <v>521</v>
      </c>
      <c r="B25" s="5" t="s">
        <v>522</v>
      </c>
      <c r="C25" s="4" t="s">
        <v>523</v>
      </c>
      <c r="D25" s="23" t="s">
        <v>237</v>
      </c>
      <c r="E25" s="23" t="s">
        <v>460</v>
      </c>
      <c r="F25" s="29" t="s">
        <v>151</v>
      </c>
    </row>
    <row r="26" customFormat="false" ht="15" hidden="false" customHeight="false" outlineLevel="0" collapsed="false">
      <c r="A26" s="40" t="s">
        <v>521</v>
      </c>
      <c r="B26" s="5" t="s">
        <v>524</v>
      </c>
      <c r="C26" s="10" t="s">
        <v>525</v>
      </c>
      <c r="D26" s="23" t="s">
        <v>237</v>
      </c>
      <c r="E26" s="23" t="s">
        <v>470</v>
      </c>
      <c r="F26" s="29" t="s">
        <v>204</v>
      </c>
    </row>
    <row r="27" customFormat="false" ht="15" hidden="false" customHeight="false" outlineLevel="0" collapsed="false">
      <c r="A27" s="40" t="s">
        <v>521</v>
      </c>
      <c r="B27" s="5" t="s">
        <v>526</v>
      </c>
      <c r="C27" s="4" t="s">
        <v>527</v>
      </c>
      <c r="D27" s="23" t="s">
        <v>505</v>
      </c>
      <c r="E27" s="23" t="s">
        <v>460</v>
      </c>
      <c r="F27" s="29" t="s">
        <v>151</v>
      </c>
    </row>
    <row r="28" customFormat="false" ht="15" hidden="false" customHeight="false" outlineLevel="0" collapsed="false">
      <c r="A28" s="40" t="s">
        <v>521</v>
      </c>
      <c r="B28" s="5" t="s">
        <v>528</v>
      </c>
      <c r="C28" s="4" t="s">
        <v>529</v>
      </c>
      <c r="D28" s="23" t="s">
        <v>253</v>
      </c>
      <c r="E28" s="23" t="s">
        <v>470</v>
      </c>
      <c r="F28" s="29" t="s">
        <v>267</v>
      </c>
    </row>
    <row r="29" customFormat="false" ht="15" hidden="false" customHeight="false" outlineLevel="0" collapsed="false">
      <c r="A29" s="40" t="s">
        <v>521</v>
      </c>
      <c r="B29" s="5" t="s">
        <v>530</v>
      </c>
      <c r="C29" s="4" t="s">
        <v>531</v>
      </c>
      <c r="D29" s="23" t="s">
        <v>532</v>
      </c>
      <c r="E29" s="23" t="s">
        <v>470</v>
      </c>
      <c r="F29" s="29" t="s">
        <v>257</v>
      </c>
    </row>
    <row r="30" customFormat="false" ht="15" hidden="false" customHeight="false" outlineLevel="0" collapsed="false">
      <c r="A30" s="40" t="s">
        <v>521</v>
      </c>
      <c r="B30" s="5" t="s">
        <v>533</v>
      </c>
      <c r="C30" s="4" t="s">
        <v>534</v>
      </c>
      <c r="D30" s="23" t="s">
        <v>469</v>
      </c>
      <c r="E30" s="23" t="s">
        <v>470</v>
      </c>
      <c r="F30" s="29" t="s">
        <v>257</v>
      </c>
    </row>
    <row r="31" customFormat="false" ht="15" hidden="false" customHeight="false" outlineLevel="0" collapsed="false">
      <c r="A31" s="40" t="s">
        <v>521</v>
      </c>
      <c r="B31" s="5" t="s">
        <v>535</v>
      </c>
      <c r="C31" s="4" t="s">
        <v>536</v>
      </c>
      <c r="D31" s="23" t="s">
        <v>532</v>
      </c>
      <c r="E31" s="23" t="s">
        <v>470</v>
      </c>
      <c r="F31" s="29" t="s">
        <v>322</v>
      </c>
    </row>
    <row r="32" customFormat="false" ht="15" hidden="false" customHeight="false" outlineLevel="0" collapsed="false">
      <c r="A32" s="40" t="s">
        <v>521</v>
      </c>
      <c r="B32" s="5" t="s">
        <v>354</v>
      </c>
      <c r="C32" s="4" t="s">
        <v>537</v>
      </c>
      <c r="D32" s="23" t="s">
        <v>353</v>
      </c>
      <c r="E32" s="23" t="s">
        <v>470</v>
      </c>
      <c r="F32" s="29" t="s">
        <v>357</v>
      </c>
    </row>
    <row r="33" customFormat="false" ht="15" hidden="false" customHeight="false" outlineLevel="0" collapsed="false">
      <c r="A33" s="40" t="s">
        <v>521</v>
      </c>
      <c r="B33" s="5" t="s">
        <v>292</v>
      </c>
      <c r="C33" s="4" t="s">
        <v>538</v>
      </c>
      <c r="D33" s="23" t="s">
        <v>253</v>
      </c>
      <c r="E33" s="23" t="s">
        <v>470</v>
      </c>
      <c r="F33" s="29" t="s">
        <v>296</v>
      </c>
    </row>
    <row r="34" customFormat="false" ht="33.75" hidden="false" customHeight="true" outlineLevel="0" collapsed="false">
      <c r="A34" s="40" t="s">
        <v>521</v>
      </c>
      <c r="B34" s="5" t="s">
        <v>539</v>
      </c>
      <c r="C34" s="10" t="s">
        <v>540</v>
      </c>
      <c r="D34" s="23" t="s">
        <v>541</v>
      </c>
      <c r="E34" s="23" t="s">
        <v>460</v>
      </c>
      <c r="F34" s="29" t="s">
        <v>542</v>
      </c>
    </row>
    <row r="35" customFormat="false" ht="33.75" hidden="false" customHeight="true" outlineLevel="0" collapsed="false">
      <c r="A35" s="40" t="s">
        <v>381</v>
      </c>
      <c r="B35" s="5" t="s">
        <v>543</v>
      </c>
      <c r="C35" s="4" t="s">
        <v>544</v>
      </c>
      <c r="D35" s="23" t="s">
        <v>465</v>
      </c>
      <c r="E35" s="23" t="s">
        <v>510</v>
      </c>
      <c r="F35" s="29" t="s">
        <v>545</v>
      </c>
    </row>
    <row r="36" customFormat="false" ht="33.75" hidden="false" customHeight="true" outlineLevel="0" collapsed="false">
      <c r="A36" s="40" t="s">
        <v>381</v>
      </c>
      <c r="B36" s="5" t="s">
        <v>546</v>
      </c>
      <c r="C36" s="4" t="s">
        <v>547</v>
      </c>
      <c r="D36" s="23" t="s">
        <v>465</v>
      </c>
      <c r="E36" s="23" t="s">
        <v>460</v>
      </c>
      <c r="F36" s="29" t="s">
        <v>436</v>
      </c>
    </row>
    <row r="37" customFormat="false" ht="15" hidden="false" customHeight="false" outlineLevel="0" collapsed="false">
      <c r="A37" s="40" t="s">
        <v>381</v>
      </c>
      <c r="B37" s="5" t="s">
        <v>548</v>
      </c>
      <c r="C37" s="4" t="s">
        <v>549</v>
      </c>
      <c r="D37" s="23" t="s">
        <v>550</v>
      </c>
      <c r="E37" s="23" t="s">
        <v>460</v>
      </c>
      <c r="F37" s="29" t="s">
        <v>551</v>
      </c>
    </row>
    <row r="38" customFormat="false" ht="15" hidden="false" customHeight="false" outlineLevel="0" collapsed="false">
      <c r="A38" s="40" t="s">
        <v>325</v>
      </c>
      <c r="B38" s="5" t="s">
        <v>552</v>
      </c>
      <c r="C38" s="4" t="s">
        <v>553</v>
      </c>
      <c r="D38" s="23" t="s">
        <v>532</v>
      </c>
      <c r="E38" s="23" t="s">
        <v>510</v>
      </c>
      <c r="F38" s="29" t="s">
        <v>429</v>
      </c>
    </row>
    <row r="39" customFormat="false" ht="33.75" hidden="false" customHeight="true" outlineLevel="0" collapsed="false">
      <c r="A39" s="40" t="s">
        <v>325</v>
      </c>
      <c r="B39" s="5" t="s">
        <v>554</v>
      </c>
      <c r="C39" s="4" t="s">
        <v>555</v>
      </c>
      <c r="D39" s="23" t="s">
        <v>556</v>
      </c>
      <c r="E39" s="23" t="s">
        <v>470</v>
      </c>
      <c r="F39" s="29" t="s">
        <v>557</v>
      </c>
    </row>
    <row r="40" customFormat="false" ht="33.75" hidden="false" customHeight="true" outlineLevel="0" collapsed="false">
      <c r="A40" s="40" t="s">
        <v>558</v>
      </c>
      <c r="B40" s="5" t="s">
        <v>559</v>
      </c>
      <c r="C40" s="4" t="s">
        <v>560</v>
      </c>
      <c r="D40" s="23" t="s">
        <v>550</v>
      </c>
      <c r="E40" s="23" t="s">
        <v>460</v>
      </c>
      <c r="F40" s="29" t="s">
        <v>371</v>
      </c>
    </row>
  </sheetData>
  <autoFilter ref="A3:F40"/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4" min="3" style="0" width="30"/>
    <col collapsed="false" customWidth="true" hidden="false" outlineLevel="0" max="5" min="5" style="0" width="42"/>
    <col collapsed="false" customWidth="true" hidden="false" outlineLevel="0" max="6" min="6" style="0" width="26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1" t="s">
        <v>561</v>
      </c>
    </row>
    <row r="2" customFormat="false" ht="15" hidden="false" customHeight="false" outlineLevel="0" collapsed="false">
      <c r="A2" s="2" t="s">
        <v>562</v>
      </c>
    </row>
    <row r="3" customFormat="false" ht="30" hidden="false" customHeight="true" outlineLevel="0" collapsed="false">
      <c r="A3" s="7" t="s">
        <v>563</v>
      </c>
      <c r="B3" s="7" t="s">
        <v>564</v>
      </c>
      <c r="C3" s="7" t="s">
        <v>565</v>
      </c>
      <c r="D3" s="7" t="s">
        <v>566</v>
      </c>
      <c r="E3" s="7" t="s">
        <v>567</v>
      </c>
      <c r="F3" s="7" t="s">
        <v>568</v>
      </c>
      <c r="G3" s="7" t="s">
        <v>168</v>
      </c>
    </row>
    <row r="4" customFormat="false" ht="63.75" hidden="false" customHeight="true" outlineLevel="0" collapsed="false">
      <c r="A4" s="3" t="s">
        <v>569</v>
      </c>
      <c r="B4" s="4" t="s">
        <v>570</v>
      </c>
      <c r="C4" s="4" t="s">
        <v>571</v>
      </c>
      <c r="D4" s="4" t="s">
        <v>572</v>
      </c>
      <c r="E4" s="4" t="s">
        <v>573</v>
      </c>
      <c r="F4" s="4" t="s">
        <v>574</v>
      </c>
      <c r="G4" s="29" t="s">
        <v>575</v>
      </c>
    </row>
    <row r="5" customFormat="false" ht="63.75" hidden="false" customHeight="true" outlineLevel="0" collapsed="false">
      <c r="A5" s="3" t="s">
        <v>576</v>
      </c>
      <c r="B5" s="4" t="s">
        <v>577</v>
      </c>
      <c r="C5" s="4" t="s">
        <v>578</v>
      </c>
      <c r="D5" s="4" t="s">
        <v>579</v>
      </c>
      <c r="E5" s="4" t="s">
        <v>580</v>
      </c>
      <c r="F5" s="4" t="s">
        <v>581</v>
      </c>
      <c r="G5" s="29" t="s">
        <v>582</v>
      </c>
    </row>
    <row r="6" customFormat="false" ht="33.75" hidden="false" customHeight="true" outlineLevel="0" collapsed="false">
      <c r="A6" s="3" t="s">
        <v>583</v>
      </c>
      <c r="B6" s="4" t="s">
        <v>469</v>
      </c>
      <c r="C6" s="4" t="s">
        <v>584</v>
      </c>
      <c r="D6" s="4" t="s">
        <v>585</v>
      </c>
      <c r="E6" s="4" t="s">
        <v>586</v>
      </c>
      <c r="F6" s="4" t="s">
        <v>587</v>
      </c>
      <c r="G6" s="29" t="s">
        <v>588</v>
      </c>
    </row>
    <row r="7" customFormat="false" ht="15" hidden="false" customHeight="false" outlineLevel="0" collapsed="false">
      <c r="A7" s="3" t="s">
        <v>589</v>
      </c>
      <c r="B7" s="4" t="s">
        <v>590</v>
      </c>
      <c r="C7" s="4" t="s">
        <v>591</v>
      </c>
      <c r="D7" s="4" t="s">
        <v>592</v>
      </c>
      <c r="E7" s="4" t="s">
        <v>593</v>
      </c>
      <c r="F7" s="4" t="s">
        <v>594</v>
      </c>
      <c r="G7" s="29" t="s">
        <v>180</v>
      </c>
    </row>
    <row r="8" customFormat="false" ht="48.75" hidden="false" customHeight="true" outlineLevel="0" collapsed="false">
      <c r="A8" s="3" t="s">
        <v>595</v>
      </c>
      <c r="B8" s="4" t="s">
        <v>596</v>
      </c>
      <c r="C8" s="4" t="s">
        <v>597</v>
      </c>
      <c r="D8" s="4" t="s">
        <v>598</v>
      </c>
      <c r="E8" s="4" t="s">
        <v>599</v>
      </c>
      <c r="F8" s="4" t="s">
        <v>600</v>
      </c>
      <c r="G8" s="29" t="s">
        <v>199</v>
      </c>
    </row>
    <row r="9" customFormat="false" ht="33.75" hidden="false" customHeight="true" outlineLevel="0" collapsed="false">
      <c r="A9" s="3" t="s">
        <v>601</v>
      </c>
      <c r="B9" s="4" t="s">
        <v>602</v>
      </c>
      <c r="C9" s="4" t="s">
        <v>603</v>
      </c>
      <c r="D9" s="4" t="s">
        <v>604</v>
      </c>
      <c r="E9" s="4" t="s">
        <v>605</v>
      </c>
      <c r="F9" s="4" t="s">
        <v>606</v>
      </c>
      <c r="G9" s="29" t="s">
        <v>607</v>
      </c>
    </row>
    <row r="10" customFormat="false" ht="33.75" hidden="false" customHeight="true" outlineLevel="0" collapsed="false">
      <c r="A10" s="3" t="s">
        <v>608</v>
      </c>
      <c r="B10" s="4" t="s">
        <v>609</v>
      </c>
      <c r="C10" s="4" t="s">
        <v>610</v>
      </c>
      <c r="D10" s="10" t="s">
        <v>611</v>
      </c>
      <c r="E10" s="4" t="s">
        <v>612</v>
      </c>
      <c r="F10" s="4" t="s">
        <v>581</v>
      </c>
      <c r="G10" s="29" t="s">
        <v>613</v>
      </c>
    </row>
    <row r="11" customFormat="false" ht="15" hidden="false" customHeight="false" outlineLevel="0" collapsed="false">
      <c r="A11" s="3" t="s">
        <v>614</v>
      </c>
      <c r="B11" s="4" t="s">
        <v>615</v>
      </c>
      <c r="C11" s="4" t="s">
        <v>616</v>
      </c>
      <c r="D11" s="4" t="s">
        <v>617</v>
      </c>
      <c r="E11" s="4" t="s">
        <v>618</v>
      </c>
      <c r="F11" s="4" t="s">
        <v>619</v>
      </c>
      <c r="G11" s="29" t="s">
        <v>180</v>
      </c>
    </row>
    <row r="12" customFormat="false" ht="33.75" hidden="false" customHeight="true" outlineLevel="0" collapsed="false">
      <c r="A12" s="3" t="s">
        <v>620</v>
      </c>
      <c r="B12" s="4" t="s">
        <v>621</v>
      </c>
      <c r="C12" s="4" t="s">
        <v>622</v>
      </c>
      <c r="D12" s="4" t="s">
        <v>623</v>
      </c>
      <c r="E12" s="4" t="s">
        <v>624</v>
      </c>
      <c r="F12" s="10" t="s">
        <v>625</v>
      </c>
      <c r="G12" s="29" t="s">
        <v>188</v>
      </c>
    </row>
    <row r="13" customFormat="false" ht="33.75" hidden="false" customHeight="true" outlineLevel="0" collapsed="false">
      <c r="A13" s="3" t="s">
        <v>626</v>
      </c>
      <c r="B13" s="4" t="s">
        <v>627</v>
      </c>
      <c r="C13" s="4" t="s">
        <v>628</v>
      </c>
      <c r="D13" s="4" t="s">
        <v>629</v>
      </c>
      <c r="E13" s="4" t="s">
        <v>630</v>
      </c>
      <c r="F13" s="10" t="s">
        <v>251</v>
      </c>
      <c r="G13" s="29" t="s">
        <v>631</v>
      </c>
    </row>
    <row r="14" customFormat="false" ht="33.75" hidden="false" customHeight="true" outlineLevel="0" collapsed="false">
      <c r="A14" s="3" t="s">
        <v>632</v>
      </c>
      <c r="B14" s="10" t="s">
        <v>633</v>
      </c>
      <c r="C14" s="4" t="s">
        <v>634</v>
      </c>
      <c r="D14" s="4" t="s">
        <v>635</v>
      </c>
      <c r="E14" s="4" t="s">
        <v>636</v>
      </c>
      <c r="F14" s="4" t="s">
        <v>637</v>
      </c>
      <c r="G14" s="29" t="s">
        <v>638</v>
      </c>
    </row>
    <row r="15" customFormat="false" ht="33.75" hidden="false" customHeight="true" outlineLevel="0" collapsed="false">
      <c r="A15" s="3" t="s">
        <v>639</v>
      </c>
      <c r="B15" s="4" t="s">
        <v>459</v>
      </c>
      <c r="C15" s="10" t="s">
        <v>251</v>
      </c>
      <c r="D15" s="10" t="s">
        <v>251</v>
      </c>
      <c r="E15" s="4" t="s">
        <v>640</v>
      </c>
      <c r="F15" s="4" t="s">
        <v>641</v>
      </c>
      <c r="G15" s="29" t="s">
        <v>642</v>
      </c>
    </row>
  </sheetData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44"/>
    <col collapsed="false" customWidth="true" hidden="false" outlineLevel="0" max="7" min="6" style="0" width="10"/>
    <col collapsed="false" customWidth="true" hidden="false" outlineLevel="0" max="8" min="8" style="0" width="20"/>
  </cols>
  <sheetData>
    <row r="1" customFormat="false" ht="19.7" hidden="false" customHeight="false" outlineLevel="0" collapsed="false">
      <c r="A1" s="1" t="s">
        <v>643</v>
      </c>
    </row>
    <row r="2" customFormat="false" ht="15" hidden="false" customHeight="false" outlineLevel="0" collapsed="false">
      <c r="A2" s="2" t="s">
        <v>644</v>
      </c>
    </row>
    <row r="3" customFormat="false" ht="30" hidden="false" customHeight="true" outlineLevel="0" collapsed="false">
      <c r="A3" s="7" t="s">
        <v>36</v>
      </c>
      <c r="B3" s="7" t="s">
        <v>645</v>
      </c>
      <c r="C3" s="7" t="s">
        <v>646</v>
      </c>
      <c r="D3" s="7" t="s">
        <v>390</v>
      </c>
      <c r="E3" s="7" t="s">
        <v>647</v>
      </c>
      <c r="F3" s="7" t="s">
        <v>648</v>
      </c>
      <c r="G3" s="7" t="s">
        <v>649</v>
      </c>
      <c r="H3" s="7" t="s">
        <v>650</v>
      </c>
    </row>
    <row r="4" customFormat="false" ht="15" hidden="false" customHeight="false" outlineLevel="0" collapsed="false">
      <c r="A4" s="42" t="n">
        <v>46324</v>
      </c>
      <c r="B4" s="43" t="s">
        <v>651</v>
      </c>
      <c r="C4" s="43" t="s">
        <v>263</v>
      </c>
      <c r="D4" s="44" t="s">
        <v>264</v>
      </c>
      <c r="E4" s="44" t="s">
        <v>652</v>
      </c>
      <c r="F4" s="44" t="s">
        <v>653</v>
      </c>
      <c r="G4" s="43" t="n">
        <v>3.5</v>
      </c>
      <c r="H4" s="44" t="s">
        <v>654</v>
      </c>
    </row>
    <row r="5" customFormat="false" ht="15" hidden="false" customHeight="false" outlineLevel="0" collapsed="false">
      <c r="A5" s="18"/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18"/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18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18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18"/>
      <c r="B9" s="4"/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18"/>
      <c r="B10" s="4"/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A11" s="18"/>
      <c r="B11" s="4"/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A12" s="18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18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18"/>
      <c r="B14" s="4"/>
      <c r="C14" s="4"/>
      <c r="D14" s="4"/>
      <c r="E14" s="4"/>
      <c r="F14" s="4"/>
      <c r="G14" s="4"/>
      <c r="H14" s="4"/>
    </row>
    <row r="15" customFormat="false" ht="15" hidden="false" customHeight="false" outlineLevel="0" collapsed="false">
      <c r="A15" s="18"/>
      <c r="B15" s="4"/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A16" s="18"/>
      <c r="B16" s="4"/>
      <c r="C16" s="4"/>
      <c r="D16" s="4"/>
      <c r="E16" s="4"/>
      <c r="F16" s="4"/>
      <c r="G16" s="4"/>
      <c r="H16" s="4"/>
    </row>
    <row r="17" customFormat="false" ht="15" hidden="false" customHeight="false" outlineLevel="0" collapsed="false">
      <c r="A17" s="18"/>
      <c r="B17" s="4"/>
      <c r="C17" s="4"/>
      <c r="D17" s="4"/>
      <c r="E17" s="4"/>
      <c r="F17" s="4"/>
      <c r="G17" s="4"/>
      <c r="H17" s="4"/>
    </row>
    <row r="18" customFormat="false" ht="15" hidden="false" customHeight="false" outlineLevel="0" collapsed="false">
      <c r="A18" s="18"/>
      <c r="B18" s="4"/>
      <c r="C18" s="4"/>
      <c r="D18" s="4"/>
      <c r="E18" s="4"/>
      <c r="F18" s="4"/>
      <c r="G18" s="4"/>
      <c r="H18" s="4"/>
    </row>
    <row r="19" customFormat="false" ht="15" hidden="false" customHeight="false" outlineLevel="0" collapsed="false">
      <c r="A19" s="18"/>
      <c r="B19" s="4"/>
      <c r="C19" s="4"/>
      <c r="D19" s="4"/>
      <c r="E19" s="4"/>
      <c r="F19" s="4"/>
      <c r="G19" s="4"/>
      <c r="H19" s="4"/>
    </row>
    <row r="20" customFormat="false" ht="15" hidden="false" customHeight="false" outlineLevel="0" collapsed="false">
      <c r="A20" s="18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18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18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18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18"/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18"/>
      <c r="B25" s="4"/>
      <c r="C25" s="4"/>
      <c r="D25" s="4"/>
      <c r="E25" s="4"/>
      <c r="F25" s="4"/>
      <c r="G25" s="4"/>
      <c r="H25" s="4"/>
    </row>
    <row r="26" customFormat="false" ht="15" hidden="false" customHeight="false" outlineLevel="0" collapsed="false">
      <c r="A26" s="18"/>
      <c r="B26" s="4"/>
      <c r="C26" s="4"/>
      <c r="D26" s="4"/>
      <c r="E26" s="4"/>
      <c r="F26" s="4"/>
      <c r="G26" s="4"/>
      <c r="H26" s="4"/>
    </row>
    <row r="27" customFormat="false" ht="15" hidden="false" customHeight="false" outlineLevel="0" collapsed="false">
      <c r="A27" s="18"/>
      <c r="B27" s="4"/>
      <c r="C27" s="4"/>
      <c r="D27" s="4"/>
      <c r="E27" s="4"/>
      <c r="F27" s="4"/>
      <c r="G27" s="4"/>
      <c r="H27" s="4"/>
    </row>
    <row r="28" customFormat="false" ht="15" hidden="false" customHeight="false" outlineLevel="0" collapsed="false">
      <c r="A28" s="18"/>
      <c r="B28" s="4"/>
      <c r="C28" s="4"/>
      <c r="D28" s="4"/>
      <c r="E28" s="4"/>
      <c r="F28" s="4"/>
      <c r="G28" s="4"/>
      <c r="H28" s="4"/>
    </row>
    <row r="29" customFormat="false" ht="15" hidden="false" customHeight="false" outlineLevel="0" collapsed="false">
      <c r="A29" s="18"/>
      <c r="B29" s="4"/>
      <c r="C29" s="4"/>
      <c r="D29" s="4"/>
      <c r="E29" s="4"/>
      <c r="F29" s="4"/>
      <c r="G29" s="4"/>
      <c r="H29" s="4"/>
    </row>
    <row r="30" customFormat="false" ht="15" hidden="false" customHeight="false" outlineLevel="0" collapsed="false">
      <c r="A30" s="18"/>
      <c r="B30" s="4"/>
      <c r="C30" s="4"/>
      <c r="D30" s="4"/>
      <c r="E30" s="4"/>
      <c r="F30" s="4"/>
      <c r="G30" s="4"/>
      <c r="H30" s="4"/>
    </row>
    <row r="31" customFormat="false" ht="15" hidden="false" customHeight="false" outlineLevel="0" collapsed="false">
      <c r="A31" s="18"/>
      <c r="B31" s="4"/>
      <c r="C31" s="4"/>
      <c r="D31" s="4"/>
      <c r="E31" s="4"/>
      <c r="F31" s="4"/>
      <c r="G31" s="4"/>
      <c r="H31" s="4"/>
    </row>
    <row r="32" customFormat="false" ht="15" hidden="false" customHeight="false" outlineLevel="0" collapsed="false">
      <c r="A32" s="18"/>
      <c r="B32" s="4"/>
      <c r="C32" s="4"/>
      <c r="D32" s="4"/>
      <c r="E32" s="4"/>
      <c r="F32" s="4"/>
      <c r="G32" s="4"/>
      <c r="H32" s="4"/>
    </row>
    <row r="33" customFormat="false" ht="15" hidden="false" customHeight="false" outlineLevel="0" collapsed="false">
      <c r="A33" s="18"/>
      <c r="B33" s="4"/>
      <c r="C33" s="4"/>
      <c r="D33" s="4"/>
      <c r="E33" s="4"/>
      <c r="F33" s="4"/>
      <c r="G33" s="4"/>
      <c r="H33" s="4"/>
    </row>
    <row r="34" customFormat="false" ht="15" hidden="false" customHeight="false" outlineLevel="0" collapsed="false">
      <c r="A34" s="18"/>
      <c r="B34" s="4"/>
      <c r="C34" s="4"/>
      <c r="D34" s="4"/>
      <c r="E34" s="4"/>
      <c r="F34" s="4"/>
      <c r="G34" s="4"/>
      <c r="H34" s="4"/>
    </row>
    <row r="35" customFormat="false" ht="15" hidden="false" customHeight="false" outlineLevel="0" collapsed="false">
      <c r="A35" s="18"/>
      <c r="B35" s="4"/>
      <c r="C35" s="4"/>
      <c r="D35" s="4"/>
      <c r="E35" s="4"/>
      <c r="F35" s="4"/>
      <c r="G35" s="4"/>
      <c r="H35" s="4"/>
    </row>
    <row r="36" customFormat="false" ht="15" hidden="false" customHeight="false" outlineLevel="0" collapsed="false">
      <c r="A36" s="18"/>
      <c r="B36" s="4"/>
      <c r="C36" s="4"/>
      <c r="D36" s="4"/>
      <c r="E36" s="4"/>
      <c r="F36" s="4"/>
      <c r="G36" s="4"/>
      <c r="H36" s="4"/>
    </row>
    <row r="37" customFormat="false" ht="15" hidden="false" customHeight="false" outlineLevel="0" collapsed="false">
      <c r="A37" s="18"/>
      <c r="B37" s="4"/>
      <c r="C37" s="4"/>
      <c r="D37" s="4"/>
      <c r="E37" s="4"/>
      <c r="F37" s="4"/>
      <c r="G37" s="4"/>
      <c r="H37" s="4"/>
    </row>
    <row r="38" customFormat="false" ht="15" hidden="false" customHeight="false" outlineLevel="0" collapsed="false">
      <c r="A38" s="18"/>
      <c r="B38" s="4"/>
      <c r="C38" s="4"/>
      <c r="D38" s="4"/>
      <c r="E38" s="4"/>
      <c r="F38" s="4"/>
      <c r="G38" s="4"/>
      <c r="H38" s="4"/>
    </row>
    <row r="39" customFormat="false" ht="15" hidden="false" customHeight="false" outlineLevel="0" collapsed="false">
      <c r="A39" s="18"/>
      <c r="B39" s="4"/>
      <c r="C39" s="4"/>
      <c r="D39" s="4"/>
      <c r="E39" s="4"/>
      <c r="F39" s="4"/>
      <c r="G39" s="4"/>
      <c r="H39" s="4"/>
    </row>
    <row r="40" customFormat="false" ht="15" hidden="false" customHeight="false" outlineLevel="0" collapsed="false">
      <c r="A40" s="18"/>
      <c r="B40" s="4"/>
      <c r="C40" s="4"/>
      <c r="D40" s="4"/>
      <c r="E40" s="4"/>
      <c r="F40" s="4"/>
      <c r="G40" s="4"/>
      <c r="H40" s="4"/>
    </row>
    <row r="41" customFormat="false" ht="15" hidden="false" customHeight="false" outlineLevel="0" collapsed="false">
      <c r="A41" s="18"/>
      <c r="B41" s="4"/>
      <c r="C41" s="4"/>
      <c r="D41" s="4"/>
      <c r="E41" s="4"/>
      <c r="F41" s="4"/>
      <c r="G41" s="4"/>
      <c r="H41" s="4"/>
    </row>
    <row r="42" customFormat="false" ht="15" hidden="false" customHeight="false" outlineLevel="0" collapsed="false">
      <c r="A42" s="18"/>
      <c r="B42" s="4"/>
      <c r="C42" s="4"/>
      <c r="D42" s="4"/>
      <c r="E42" s="4"/>
      <c r="F42" s="4"/>
      <c r="G42" s="4"/>
      <c r="H42" s="4"/>
    </row>
    <row r="43" customFormat="false" ht="15" hidden="false" customHeight="false" outlineLevel="0" collapsed="false">
      <c r="A43" s="18"/>
      <c r="B43" s="4"/>
      <c r="C43" s="4"/>
      <c r="D43" s="4"/>
      <c r="E43" s="4"/>
      <c r="F43" s="4"/>
      <c r="G43" s="4"/>
      <c r="H43" s="4"/>
    </row>
    <row r="44" customFormat="false" ht="15" hidden="false" customHeight="false" outlineLevel="0" collapsed="false">
      <c r="A44" s="18"/>
      <c r="B44" s="4"/>
      <c r="C44" s="4"/>
      <c r="D44" s="4"/>
      <c r="E44" s="4"/>
      <c r="F44" s="4"/>
      <c r="G44" s="4"/>
      <c r="H44" s="4"/>
    </row>
    <row r="45" customFormat="false" ht="15" hidden="false" customHeight="false" outlineLevel="0" collapsed="false">
      <c r="A45" s="18"/>
      <c r="B45" s="4"/>
      <c r="C45" s="4"/>
      <c r="D45" s="4"/>
      <c r="E45" s="4"/>
      <c r="F45" s="4"/>
      <c r="G45" s="4"/>
      <c r="H45" s="4"/>
    </row>
    <row r="46" customFormat="false" ht="15" hidden="false" customHeight="false" outlineLevel="0" collapsed="false">
      <c r="A46" s="18"/>
      <c r="B46" s="4"/>
      <c r="C46" s="4"/>
      <c r="D46" s="4"/>
      <c r="E46" s="4"/>
      <c r="F46" s="4"/>
      <c r="G46" s="4"/>
      <c r="H46" s="4"/>
    </row>
    <row r="47" customFormat="false" ht="15" hidden="false" customHeight="false" outlineLevel="0" collapsed="false">
      <c r="A47" s="18"/>
      <c r="B47" s="4"/>
      <c r="C47" s="4"/>
      <c r="D47" s="4"/>
      <c r="E47" s="4"/>
      <c r="F47" s="4"/>
      <c r="G47" s="4"/>
      <c r="H47" s="4"/>
    </row>
    <row r="48" customFormat="false" ht="15" hidden="false" customHeight="false" outlineLevel="0" collapsed="false">
      <c r="A48" s="18"/>
      <c r="B48" s="4"/>
      <c r="C48" s="4"/>
      <c r="D48" s="4"/>
      <c r="E48" s="4"/>
      <c r="F48" s="4"/>
      <c r="G48" s="4"/>
      <c r="H48" s="4"/>
    </row>
    <row r="49" customFormat="false" ht="15" hidden="false" customHeight="false" outlineLevel="0" collapsed="false">
      <c r="A49" s="18"/>
      <c r="B49" s="4"/>
      <c r="C49" s="4"/>
      <c r="D49" s="4"/>
      <c r="E49" s="4"/>
      <c r="F49" s="4"/>
      <c r="G49" s="4"/>
      <c r="H49" s="4"/>
    </row>
    <row r="50" customFormat="false" ht="15" hidden="false" customHeight="false" outlineLevel="0" collapsed="false">
      <c r="A50" s="18"/>
      <c r="B50" s="4"/>
      <c r="C50" s="4"/>
      <c r="D50" s="4"/>
      <c r="E50" s="4"/>
      <c r="F50" s="4"/>
      <c r="G50" s="4"/>
      <c r="H50" s="4"/>
    </row>
    <row r="51" customFormat="false" ht="15" hidden="false" customHeight="false" outlineLevel="0" collapsed="false">
      <c r="A51" s="18"/>
      <c r="B51" s="4"/>
      <c r="C51" s="4"/>
      <c r="D51" s="4"/>
      <c r="E51" s="4"/>
      <c r="F51" s="4"/>
      <c r="G51" s="4"/>
      <c r="H51" s="4"/>
    </row>
    <row r="52" customFormat="false" ht="15" hidden="false" customHeight="false" outlineLevel="0" collapsed="false">
      <c r="A52" s="18"/>
      <c r="B52" s="4"/>
      <c r="C52" s="4"/>
      <c r="D52" s="4"/>
      <c r="E52" s="4"/>
      <c r="F52" s="4"/>
      <c r="G52" s="4"/>
      <c r="H52" s="4"/>
    </row>
    <row r="53" customFormat="false" ht="15" hidden="false" customHeight="false" outlineLevel="0" collapsed="false">
      <c r="A53" s="18"/>
      <c r="B53" s="4"/>
      <c r="C53" s="4"/>
      <c r="D53" s="4"/>
      <c r="E53" s="4"/>
      <c r="F53" s="4"/>
      <c r="G53" s="4"/>
      <c r="H53" s="4"/>
    </row>
    <row r="54" customFormat="false" ht="15" hidden="false" customHeight="false" outlineLevel="0" collapsed="false">
      <c r="A54" s="18"/>
      <c r="B54" s="4"/>
      <c r="C54" s="4"/>
      <c r="D54" s="4"/>
      <c r="E54" s="4"/>
      <c r="F54" s="4"/>
      <c r="G54" s="4"/>
      <c r="H54" s="4"/>
    </row>
    <row r="55" customFormat="false" ht="15" hidden="false" customHeight="false" outlineLevel="0" collapsed="false">
      <c r="A55" s="18"/>
      <c r="B55" s="4"/>
      <c r="C55" s="4"/>
      <c r="D55" s="4"/>
      <c r="E55" s="4"/>
      <c r="F55" s="4"/>
      <c r="G55" s="4"/>
      <c r="H55" s="4"/>
    </row>
    <row r="56" customFormat="false" ht="15" hidden="false" customHeight="false" outlineLevel="0" collapsed="false">
      <c r="A56" s="18"/>
      <c r="B56" s="4"/>
      <c r="C56" s="4"/>
      <c r="D56" s="4"/>
      <c r="E56" s="4"/>
      <c r="F56" s="4"/>
      <c r="G56" s="4"/>
      <c r="H56" s="4"/>
    </row>
    <row r="57" customFormat="false" ht="15" hidden="false" customHeight="false" outlineLevel="0" collapsed="false">
      <c r="A57" s="18"/>
      <c r="B57" s="4"/>
      <c r="C57" s="4"/>
      <c r="D57" s="4"/>
      <c r="E57" s="4"/>
      <c r="F57" s="4"/>
      <c r="G57" s="4"/>
      <c r="H57" s="4"/>
    </row>
    <row r="58" customFormat="false" ht="15" hidden="false" customHeight="false" outlineLevel="0" collapsed="false">
      <c r="A58" s="18"/>
      <c r="B58" s="4"/>
      <c r="C58" s="4"/>
      <c r="D58" s="4"/>
      <c r="E58" s="4"/>
      <c r="F58" s="4"/>
      <c r="G58" s="4"/>
      <c r="H58" s="4"/>
    </row>
    <row r="59" customFormat="false" ht="15" hidden="false" customHeight="false" outlineLevel="0" collapsed="false">
      <c r="A59" s="18"/>
      <c r="B59" s="4"/>
      <c r="C59" s="4"/>
      <c r="D59" s="4"/>
      <c r="E59" s="4"/>
      <c r="F59" s="4"/>
      <c r="G59" s="4"/>
      <c r="H59" s="4"/>
    </row>
    <row r="60" customFormat="false" ht="15" hidden="false" customHeight="false" outlineLevel="0" collapsed="false">
      <c r="A60" s="18"/>
      <c r="B60" s="4"/>
      <c r="C60" s="4"/>
      <c r="D60" s="4"/>
      <c r="E60" s="4"/>
      <c r="F60" s="4"/>
      <c r="G60" s="4"/>
      <c r="H60" s="4"/>
    </row>
    <row r="61" customFormat="false" ht="15" hidden="false" customHeight="false" outlineLevel="0" collapsed="false">
      <c r="A61" s="18"/>
      <c r="B61" s="4"/>
      <c r="C61" s="4"/>
      <c r="D61" s="4"/>
      <c r="E61" s="4"/>
      <c r="F61" s="4"/>
      <c r="G61" s="4"/>
      <c r="H61" s="4"/>
    </row>
    <row r="62" customFormat="false" ht="15" hidden="false" customHeight="false" outlineLevel="0" collapsed="false">
      <c r="A62" s="18"/>
      <c r="B62" s="4"/>
      <c r="C62" s="4"/>
      <c r="D62" s="4"/>
      <c r="E62" s="4"/>
      <c r="F62" s="4"/>
      <c r="G62" s="4"/>
      <c r="H62" s="4"/>
    </row>
    <row r="63" customFormat="false" ht="15" hidden="false" customHeight="false" outlineLevel="0" collapsed="false">
      <c r="A63" s="18"/>
      <c r="B63" s="4"/>
      <c r="C63" s="4"/>
      <c r="D63" s="4"/>
      <c r="E63" s="4"/>
      <c r="F63" s="4"/>
      <c r="G63" s="4"/>
      <c r="H63" s="4"/>
    </row>
  </sheetData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5" min="4" style="0" width="14"/>
    <col collapsed="false" customWidth="true" hidden="false" outlineLevel="0" max="6" min="6" style="0" width="9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10"/>
  </cols>
  <sheetData>
    <row r="1" customFormat="false" ht="19.7" hidden="false" customHeight="false" outlineLevel="0" collapsed="false">
      <c r="A1" s="1" t="s">
        <v>655</v>
      </c>
    </row>
    <row r="2" customFormat="false" ht="15" hidden="false" customHeight="false" outlineLevel="0" collapsed="false">
      <c r="A2" s="2" t="s">
        <v>644</v>
      </c>
    </row>
    <row r="3" customFormat="false" ht="30" hidden="false" customHeight="true" outlineLevel="0" collapsed="false">
      <c r="A3" s="7" t="s">
        <v>36</v>
      </c>
      <c r="B3" s="7" t="s">
        <v>645</v>
      </c>
      <c r="C3" s="7" t="s">
        <v>452</v>
      </c>
      <c r="D3" s="7" t="s">
        <v>656</v>
      </c>
      <c r="E3" s="7" t="s">
        <v>657</v>
      </c>
      <c r="F3" s="7" t="s">
        <v>658</v>
      </c>
      <c r="G3" s="7" t="s">
        <v>659</v>
      </c>
      <c r="H3" s="7" t="s">
        <v>660</v>
      </c>
      <c r="I3" s="7" t="s">
        <v>661</v>
      </c>
      <c r="J3" s="7" t="s">
        <v>662</v>
      </c>
      <c r="K3" s="7" t="s">
        <v>648</v>
      </c>
    </row>
    <row r="4" customFormat="false" ht="15" hidden="false" customHeight="false" outlineLevel="0" collapsed="false">
      <c r="A4" s="42" t="n">
        <v>46338</v>
      </c>
      <c r="B4" s="43" t="s">
        <v>651</v>
      </c>
      <c r="C4" s="44" t="s">
        <v>382</v>
      </c>
      <c r="D4" s="44" t="s">
        <v>663</v>
      </c>
      <c r="E4" s="43" t="s">
        <v>664</v>
      </c>
      <c r="F4" s="43" t="n">
        <v>3.4</v>
      </c>
      <c r="G4" s="44" t="s">
        <v>665</v>
      </c>
      <c r="H4" s="44" t="s">
        <v>666</v>
      </c>
      <c r="I4" s="43" t="n">
        <v>1.2</v>
      </c>
      <c r="J4" s="43" t="n">
        <v>6.4</v>
      </c>
      <c r="K4" s="44" t="s">
        <v>667</v>
      </c>
    </row>
    <row r="5" customFormat="false" ht="15" hidden="false" customHeight="false" outlineLevel="0" collapsed="false">
      <c r="A5" s="18"/>
      <c r="B5" s="4"/>
      <c r="C5" s="10"/>
      <c r="D5" s="4"/>
      <c r="E5" s="4"/>
      <c r="F5" s="4"/>
      <c r="G5" s="4"/>
      <c r="H5" s="4"/>
      <c r="I5" s="4"/>
      <c r="J5" s="4"/>
      <c r="K5" s="4"/>
    </row>
    <row r="6" customFormat="false" ht="15" hidden="false" customHeight="false" outlineLevel="0" collapsed="false">
      <c r="A6" s="18"/>
      <c r="B6" s="4"/>
      <c r="C6" s="10"/>
      <c r="D6" s="4"/>
      <c r="E6" s="4"/>
      <c r="F6" s="4"/>
      <c r="G6" s="4"/>
      <c r="H6" s="4"/>
      <c r="I6" s="4"/>
      <c r="J6" s="4"/>
      <c r="K6" s="4"/>
    </row>
    <row r="7" customFormat="false" ht="15" hidden="false" customHeight="false" outlineLevel="0" collapsed="false">
      <c r="A7" s="18"/>
      <c r="B7" s="4"/>
      <c r="C7" s="10"/>
      <c r="D7" s="4"/>
      <c r="E7" s="4"/>
      <c r="F7" s="4"/>
      <c r="G7" s="4"/>
      <c r="H7" s="4"/>
      <c r="I7" s="4"/>
      <c r="J7" s="4"/>
      <c r="K7" s="4"/>
    </row>
    <row r="8" customFormat="false" ht="15" hidden="false" customHeight="false" outlineLevel="0" collapsed="false">
      <c r="A8" s="18"/>
      <c r="B8" s="4"/>
      <c r="C8" s="10"/>
      <c r="D8" s="4"/>
      <c r="E8" s="4"/>
      <c r="F8" s="4"/>
      <c r="G8" s="4"/>
      <c r="H8" s="4"/>
      <c r="I8" s="4"/>
      <c r="J8" s="4"/>
      <c r="K8" s="4"/>
    </row>
    <row r="9" customFormat="false" ht="15" hidden="false" customHeight="false" outlineLevel="0" collapsed="false">
      <c r="A9" s="18"/>
      <c r="B9" s="4"/>
      <c r="C9" s="10"/>
      <c r="D9" s="4"/>
      <c r="E9" s="4"/>
      <c r="F9" s="4"/>
      <c r="G9" s="4"/>
      <c r="H9" s="4"/>
      <c r="I9" s="4"/>
      <c r="J9" s="4"/>
      <c r="K9" s="4"/>
    </row>
    <row r="10" customFormat="false" ht="15" hidden="false" customHeight="false" outlineLevel="0" collapsed="false">
      <c r="A10" s="18"/>
      <c r="B10" s="4"/>
      <c r="C10" s="10"/>
      <c r="D10" s="4"/>
      <c r="E10" s="4"/>
      <c r="F10" s="4"/>
      <c r="G10" s="4"/>
      <c r="H10" s="4"/>
      <c r="I10" s="4"/>
      <c r="J10" s="4"/>
      <c r="K10" s="4"/>
    </row>
    <row r="11" customFormat="false" ht="15" hidden="false" customHeight="false" outlineLevel="0" collapsed="false">
      <c r="A11" s="18"/>
      <c r="B11" s="4"/>
      <c r="C11" s="10"/>
      <c r="D11" s="4"/>
      <c r="E11" s="4"/>
      <c r="F11" s="4"/>
      <c r="G11" s="4"/>
      <c r="H11" s="4"/>
      <c r="I11" s="4"/>
      <c r="J11" s="4"/>
      <c r="K11" s="4"/>
    </row>
    <row r="12" customFormat="false" ht="15" hidden="false" customHeight="false" outlineLevel="0" collapsed="false">
      <c r="A12" s="18"/>
      <c r="B12" s="4"/>
      <c r="C12" s="10"/>
      <c r="D12" s="4"/>
      <c r="E12" s="4"/>
      <c r="F12" s="4"/>
      <c r="G12" s="4"/>
      <c r="H12" s="4"/>
      <c r="I12" s="4"/>
      <c r="J12" s="4"/>
      <c r="K12" s="4"/>
    </row>
    <row r="13" customFormat="false" ht="15" hidden="false" customHeight="false" outlineLevel="0" collapsed="false">
      <c r="A13" s="18"/>
      <c r="B13" s="4"/>
      <c r="C13" s="10"/>
      <c r="D13" s="4"/>
      <c r="E13" s="4"/>
      <c r="F13" s="4"/>
      <c r="G13" s="4"/>
      <c r="H13" s="4"/>
      <c r="I13" s="4"/>
      <c r="J13" s="4"/>
      <c r="K13" s="4"/>
    </row>
    <row r="14" customFormat="false" ht="15" hidden="false" customHeight="false" outlineLevel="0" collapsed="false">
      <c r="A14" s="18"/>
      <c r="B14" s="4"/>
      <c r="C14" s="10"/>
      <c r="D14" s="4"/>
      <c r="E14" s="4"/>
      <c r="F14" s="4"/>
      <c r="G14" s="4"/>
      <c r="H14" s="4"/>
      <c r="I14" s="4"/>
      <c r="J14" s="4"/>
      <c r="K14" s="4"/>
    </row>
    <row r="15" customFormat="false" ht="15" hidden="false" customHeight="false" outlineLevel="0" collapsed="false">
      <c r="A15" s="18"/>
      <c r="B15" s="4"/>
      <c r="C15" s="10"/>
      <c r="D15" s="4"/>
      <c r="E15" s="4"/>
      <c r="F15" s="4"/>
      <c r="G15" s="4"/>
      <c r="H15" s="4"/>
      <c r="I15" s="4"/>
      <c r="J15" s="4"/>
      <c r="K15" s="4"/>
    </row>
    <row r="16" customFormat="false" ht="15" hidden="false" customHeight="false" outlineLevel="0" collapsed="false">
      <c r="A16" s="18"/>
      <c r="B16" s="4"/>
      <c r="C16" s="10"/>
      <c r="D16" s="4"/>
      <c r="E16" s="4"/>
      <c r="F16" s="4"/>
      <c r="G16" s="4"/>
      <c r="H16" s="4"/>
      <c r="I16" s="4"/>
      <c r="J16" s="4"/>
      <c r="K16" s="4"/>
    </row>
    <row r="17" customFormat="false" ht="15" hidden="false" customHeight="false" outlineLevel="0" collapsed="false">
      <c r="A17" s="18"/>
      <c r="B17" s="4"/>
      <c r="C17" s="10"/>
      <c r="D17" s="4"/>
      <c r="E17" s="4"/>
      <c r="F17" s="4"/>
      <c r="G17" s="4"/>
      <c r="H17" s="4"/>
      <c r="I17" s="4"/>
      <c r="J17" s="4"/>
      <c r="K17" s="4"/>
    </row>
    <row r="18" customFormat="false" ht="15" hidden="false" customHeight="false" outlineLevel="0" collapsed="false">
      <c r="A18" s="18"/>
      <c r="B18" s="4"/>
      <c r="C18" s="10"/>
      <c r="D18" s="4"/>
      <c r="E18" s="4"/>
      <c r="F18" s="4"/>
      <c r="G18" s="4"/>
      <c r="H18" s="4"/>
      <c r="I18" s="4"/>
      <c r="J18" s="4"/>
      <c r="K18" s="4"/>
    </row>
    <row r="19" customFormat="false" ht="15" hidden="false" customHeight="false" outlineLevel="0" collapsed="false">
      <c r="A19" s="18"/>
      <c r="B19" s="4"/>
      <c r="C19" s="10"/>
      <c r="D19" s="4"/>
      <c r="E19" s="4"/>
      <c r="F19" s="4"/>
      <c r="G19" s="4"/>
      <c r="H19" s="4"/>
      <c r="I19" s="4"/>
      <c r="J19" s="4"/>
      <c r="K19" s="4"/>
    </row>
    <row r="20" customFormat="false" ht="15" hidden="false" customHeight="false" outlineLevel="0" collapsed="false">
      <c r="A20" s="18"/>
      <c r="B20" s="4"/>
      <c r="C20" s="10"/>
      <c r="D20" s="4"/>
      <c r="E20" s="4"/>
      <c r="F20" s="4"/>
      <c r="G20" s="4"/>
      <c r="H20" s="4"/>
      <c r="I20" s="4"/>
      <c r="J20" s="4"/>
      <c r="K20" s="4"/>
    </row>
    <row r="21" customFormat="false" ht="15" hidden="false" customHeight="false" outlineLevel="0" collapsed="false">
      <c r="A21" s="18"/>
      <c r="B21" s="4"/>
      <c r="C21" s="10"/>
      <c r="D21" s="4"/>
      <c r="E21" s="4"/>
      <c r="F21" s="4"/>
      <c r="G21" s="4"/>
      <c r="H21" s="4"/>
      <c r="I21" s="4"/>
      <c r="J21" s="4"/>
      <c r="K21" s="4"/>
    </row>
    <row r="22" customFormat="false" ht="15" hidden="false" customHeight="false" outlineLevel="0" collapsed="false">
      <c r="A22" s="18"/>
      <c r="B22" s="4"/>
      <c r="C22" s="10"/>
      <c r="D22" s="4"/>
      <c r="E22" s="4"/>
      <c r="F22" s="4"/>
      <c r="G22" s="4"/>
      <c r="H22" s="4"/>
      <c r="I22" s="4"/>
      <c r="J22" s="4"/>
      <c r="K22" s="4"/>
    </row>
    <row r="23" customFormat="false" ht="15" hidden="false" customHeight="false" outlineLevel="0" collapsed="false">
      <c r="A23" s="18"/>
      <c r="B23" s="4"/>
      <c r="C23" s="10"/>
      <c r="D23" s="4"/>
      <c r="E23" s="4"/>
      <c r="F23" s="4"/>
      <c r="G23" s="4"/>
      <c r="H23" s="4"/>
      <c r="I23" s="4"/>
      <c r="J23" s="4"/>
      <c r="K23" s="4"/>
    </row>
    <row r="24" customFormat="false" ht="15" hidden="false" customHeight="false" outlineLevel="0" collapsed="false">
      <c r="A24" s="18"/>
      <c r="B24" s="4"/>
      <c r="C24" s="10"/>
      <c r="D24" s="4"/>
      <c r="E24" s="4"/>
      <c r="F24" s="4"/>
      <c r="G24" s="4"/>
      <c r="H24" s="4"/>
      <c r="I24" s="4"/>
      <c r="J24" s="4"/>
      <c r="K24" s="4"/>
    </row>
    <row r="25" customFormat="false" ht="15" hidden="false" customHeight="false" outlineLevel="0" collapsed="false">
      <c r="A25" s="18"/>
      <c r="B25" s="4"/>
      <c r="C25" s="10"/>
      <c r="D25" s="4"/>
      <c r="E25" s="4"/>
      <c r="F25" s="4"/>
      <c r="G25" s="4"/>
      <c r="H25" s="4"/>
      <c r="I25" s="4"/>
      <c r="J25" s="4"/>
      <c r="K25" s="4"/>
    </row>
    <row r="26" customFormat="false" ht="15" hidden="false" customHeight="false" outlineLevel="0" collapsed="false">
      <c r="A26" s="18"/>
      <c r="B26" s="4"/>
      <c r="C26" s="10"/>
      <c r="D26" s="4"/>
      <c r="E26" s="4"/>
      <c r="F26" s="4"/>
      <c r="G26" s="4"/>
      <c r="H26" s="4"/>
      <c r="I26" s="4"/>
      <c r="J26" s="4"/>
      <c r="K26" s="4"/>
    </row>
    <row r="27" customFormat="false" ht="15" hidden="false" customHeight="false" outlineLevel="0" collapsed="false">
      <c r="A27" s="18"/>
      <c r="B27" s="4"/>
      <c r="C27" s="10"/>
      <c r="D27" s="4"/>
      <c r="E27" s="4"/>
      <c r="F27" s="4"/>
      <c r="G27" s="4"/>
      <c r="H27" s="4"/>
      <c r="I27" s="4"/>
      <c r="J27" s="4"/>
      <c r="K27" s="4"/>
    </row>
    <row r="28" customFormat="false" ht="15" hidden="false" customHeight="false" outlineLevel="0" collapsed="false">
      <c r="A28" s="18"/>
      <c r="B28" s="4"/>
      <c r="C28" s="10"/>
      <c r="D28" s="4"/>
      <c r="E28" s="4"/>
      <c r="F28" s="4"/>
      <c r="G28" s="4"/>
      <c r="H28" s="4"/>
      <c r="I28" s="4"/>
      <c r="J28" s="4"/>
      <c r="K28" s="4"/>
    </row>
    <row r="29" customFormat="false" ht="15" hidden="false" customHeight="false" outlineLevel="0" collapsed="false">
      <c r="A29" s="18"/>
      <c r="B29" s="4"/>
      <c r="C29" s="10"/>
      <c r="D29" s="4"/>
      <c r="E29" s="4"/>
      <c r="F29" s="4"/>
      <c r="G29" s="4"/>
      <c r="H29" s="4"/>
      <c r="I29" s="4"/>
      <c r="J29" s="4"/>
      <c r="K29" s="4"/>
    </row>
    <row r="30" customFormat="false" ht="15" hidden="false" customHeight="false" outlineLevel="0" collapsed="false">
      <c r="A30" s="18"/>
      <c r="B30" s="4"/>
      <c r="C30" s="10"/>
      <c r="D30" s="4"/>
      <c r="E30" s="4"/>
      <c r="F30" s="4"/>
      <c r="G30" s="4"/>
      <c r="H30" s="4"/>
      <c r="I30" s="4"/>
      <c r="J30" s="4"/>
      <c r="K30" s="4"/>
    </row>
    <row r="31" customFormat="false" ht="15" hidden="false" customHeight="false" outlineLevel="0" collapsed="false">
      <c r="A31" s="18"/>
      <c r="B31" s="4"/>
      <c r="C31" s="10"/>
      <c r="D31" s="4"/>
      <c r="E31" s="4"/>
      <c r="F31" s="4"/>
      <c r="G31" s="4"/>
      <c r="H31" s="4"/>
      <c r="I31" s="4"/>
      <c r="J31" s="4"/>
      <c r="K31" s="4"/>
    </row>
    <row r="32" customFormat="false" ht="15" hidden="false" customHeight="false" outlineLevel="0" collapsed="false">
      <c r="A32" s="18"/>
      <c r="B32" s="4"/>
      <c r="C32" s="10"/>
      <c r="D32" s="4"/>
      <c r="E32" s="4"/>
      <c r="F32" s="4"/>
      <c r="G32" s="4"/>
      <c r="H32" s="4"/>
      <c r="I32" s="4"/>
      <c r="J32" s="4"/>
      <c r="K32" s="4"/>
    </row>
    <row r="33" customFormat="false" ht="15" hidden="false" customHeight="false" outlineLevel="0" collapsed="false">
      <c r="A33" s="18"/>
      <c r="B33" s="4"/>
      <c r="C33" s="10"/>
      <c r="D33" s="4"/>
      <c r="E33" s="4"/>
      <c r="F33" s="4"/>
      <c r="G33" s="4"/>
      <c r="H33" s="4"/>
      <c r="I33" s="4"/>
      <c r="J33" s="4"/>
      <c r="K33" s="4"/>
    </row>
    <row r="34" customFormat="false" ht="15" hidden="false" customHeight="false" outlineLevel="0" collapsed="false">
      <c r="A34" s="18"/>
      <c r="B34" s="4"/>
      <c r="C34" s="10"/>
      <c r="D34" s="4"/>
      <c r="E34" s="4"/>
      <c r="F34" s="4"/>
      <c r="G34" s="4"/>
      <c r="H34" s="4"/>
      <c r="I34" s="4"/>
      <c r="J34" s="4"/>
      <c r="K34" s="4"/>
    </row>
    <row r="35" customFormat="false" ht="15" hidden="false" customHeight="false" outlineLevel="0" collapsed="false">
      <c r="A35" s="18"/>
      <c r="B35" s="4"/>
      <c r="C35" s="10"/>
      <c r="D35" s="4"/>
      <c r="E35" s="4"/>
      <c r="F35" s="4"/>
      <c r="G35" s="4"/>
      <c r="H35" s="4"/>
      <c r="I35" s="4"/>
      <c r="J35" s="4"/>
      <c r="K35" s="4"/>
    </row>
    <row r="36" customFormat="false" ht="15" hidden="false" customHeight="false" outlineLevel="0" collapsed="false">
      <c r="A36" s="18"/>
      <c r="B36" s="4"/>
      <c r="C36" s="10"/>
      <c r="D36" s="4"/>
      <c r="E36" s="4"/>
      <c r="F36" s="4"/>
      <c r="G36" s="4"/>
      <c r="H36" s="4"/>
      <c r="I36" s="4"/>
      <c r="J36" s="4"/>
      <c r="K36" s="4"/>
    </row>
    <row r="37" customFormat="false" ht="15" hidden="false" customHeight="false" outlineLevel="0" collapsed="false">
      <c r="A37" s="18"/>
      <c r="B37" s="4"/>
      <c r="C37" s="10"/>
      <c r="D37" s="4"/>
      <c r="E37" s="4"/>
      <c r="F37" s="4"/>
      <c r="G37" s="4"/>
      <c r="H37" s="4"/>
      <c r="I37" s="4"/>
      <c r="J37" s="4"/>
      <c r="K37" s="4"/>
    </row>
    <row r="38" customFormat="false" ht="15" hidden="false" customHeight="false" outlineLevel="0" collapsed="false">
      <c r="A38" s="18"/>
      <c r="B38" s="4"/>
      <c r="C38" s="10"/>
      <c r="D38" s="4"/>
      <c r="E38" s="4"/>
      <c r="F38" s="4"/>
      <c r="G38" s="4"/>
      <c r="H38" s="4"/>
      <c r="I38" s="4"/>
      <c r="J38" s="4"/>
      <c r="K38" s="4"/>
    </row>
    <row r="39" customFormat="false" ht="15" hidden="false" customHeight="false" outlineLevel="0" collapsed="false">
      <c r="A39" s="18"/>
      <c r="B39" s="4"/>
      <c r="C39" s="10"/>
      <c r="D39" s="4"/>
      <c r="E39" s="4"/>
      <c r="F39" s="4"/>
      <c r="G39" s="4"/>
      <c r="H39" s="4"/>
      <c r="I39" s="4"/>
      <c r="J39" s="4"/>
      <c r="K39" s="4"/>
    </row>
    <row r="40" customFormat="false" ht="15" hidden="false" customHeight="false" outlineLevel="0" collapsed="false">
      <c r="A40" s="18"/>
      <c r="B40" s="4"/>
      <c r="C40" s="10"/>
      <c r="D40" s="4"/>
      <c r="E40" s="4"/>
      <c r="F40" s="4"/>
      <c r="G40" s="4"/>
      <c r="H40" s="4"/>
      <c r="I40" s="4"/>
      <c r="J40" s="4"/>
      <c r="K40" s="4"/>
    </row>
    <row r="41" customFormat="false" ht="15" hidden="false" customHeight="false" outlineLevel="0" collapsed="false">
      <c r="A41" s="18"/>
      <c r="B41" s="4"/>
      <c r="C41" s="10"/>
      <c r="D41" s="4"/>
      <c r="E41" s="4"/>
      <c r="F41" s="4"/>
      <c r="G41" s="4"/>
      <c r="H41" s="4"/>
      <c r="I41" s="4"/>
      <c r="J41" s="4"/>
      <c r="K41" s="4"/>
    </row>
    <row r="42" customFormat="false" ht="15" hidden="false" customHeight="false" outlineLevel="0" collapsed="false">
      <c r="A42" s="18"/>
      <c r="B42" s="4"/>
      <c r="C42" s="10"/>
      <c r="D42" s="4"/>
      <c r="E42" s="4"/>
      <c r="F42" s="4"/>
      <c r="G42" s="4"/>
      <c r="H42" s="4"/>
      <c r="I42" s="4"/>
      <c r="J42" s="4"/>
      <c r="K42" s="4"/>
    </row>
    <row r="43" customFormat="false" ht="15" hidden="false" customHeight="false" outlineLevel="0" collapsed="false">
      <c r="A43" s="18"/>
      <c r="B43" s="4"/>
      <c r="C43" s="10"/>
      <c r="D43" s="4"/>
      <c r="E43" s="4"/>
      <c r="F43" s="4"/>
      <c r="G43" s="4"/>
      <c r="H43" s="4"/>
      <c r="I43" s="4"/>
      <c r="J43" s="4"/>
      <c r="K43" s="4"/>
    </row>
    <row r="44" customFormat="false" ht="15" hidden="false" customHeight="false" outlineLevel="0" collapsed="false">
      <c r="A44" s="18"/>
      <c r="B44" s="4"/>
      <c r="C44" s="10"/>
      <c r="D44" s="4"/>
      <c r="E44" s="4"/>
      <c r="F44" s="4"/>
      <c r="G44" s="4"/>
      <c r="H44" s="4"/>
      <c r="I44" s="4"/>
      <c r="J44" s="4"/>
      <c r="K44" s="4"/>
    </row>
    <row r="45" customFormat="false" ht="15" hidden="false" customHeight="false" outlineLevel="0" collapsed="false">
      <c r="A45" s="18"/>
      <c r="B45" s="4"/>
      <c r="C45" s="10"/>
      <c r="D45" s="4"/>
      <c r="E45" s="4"/>
      <c r="F45" s="4"/>
      <c r="G45" s="4"/>
      <c r="H45" s="4"/>
      <c r="I45" s="4"/>
      <c r="J45" s="4"/>
      <c r="K45" s="4"/>
    </row>
    <row r="46" customFormat="false" ht="15" hidden="false" customHeight="false" outlineLevel="0" collapsed="false">
      <c r="A46" s="18"/>
      <c r="B46" s="4"/>
      <c r="C46" s="10"/>
      <c r="D46" s="4"/>
      <c r="E46" s="4"/>
      <c r="F46" s="4"/>
      <c r="G46" s="4"/>
      <c r="H46" s="4"/>
      <c r="I46" s="4"/>
      <c r="J46" s="4"/>
      <c r="K46" s="4"/>
    </row>
    <row r="47" customFormat="false" ht="15" hidden="false" customHeight="false" outlineLevel="0" collapsed="false">
      <c r="A47" s="18"/>
      <c r="B47" s="4"/>
      <c r="C47" s="10"/>
      <c r="D47" s="4"/>
      <c r="E47" s="4"/>
      <c r="F47" s="4"/>
      <c r="G47" s="4"/>
      <c r="H47" s="4"/>
      <c r="I47" s="4"/>
      <c r="J47" s="4"/>
      <c r="K47" s="4"/>
    </row>
    <row r="48" customFormat="false" ht="15" hidden="false" customHeight="false" outlineLevel="0" collapsed="false">
      <c r="A48" s="18"/>
      <c r="B48" s="4"/>
      <c r="C48" s="10"/>
      <c r="D48" s="4"/>
      <c r="E48" s="4"/>
      <c r="F48" s="4"/>
      <c r="G48" s="4"/>
      <c r="H48" s="4"/>
      <c r="I48" s="4"/>
      <c r="J48" s="4"/>
      <c r="K48" s="4"/>
    </row>
    <row r="49" customFormat="false" ht="15" hidden="false" customHeight="false" outlineLevel="0" collapsed="false">
      <c r="A49" s="18"/>
      <c r="B49" s="4"/>
      <c r="C49" s="10"/>
      <c r="D49" s="4"/>
      <c r="E49" s="4"/>
      <c r="F49" s="4"/>
      <c r="G49" s="4"/>
      <c r="H49" s="4"/>
      <c r="I49" s="4"/>
      <c r="J49" s="4"/>
      <c r="K49" s="4"/>
    </row>
    <row r="50" customFormat="false" ht="15" hidden="false" customHeight="false" outlineLevel="0" collapsed="false">
      <c r="A50" s="18"/>
      <c r="B50" s="4"/>
      <c r="C50" s="10"/>
      <c r="D50" s="4"/>
      <c r="E50" s="4"/>
      <c r="F50" s="4"/>
      <c r="G50" s="4"/>
      <c r="H50" s="4"/>
      <c r="I50" s="4"/>
      <c r="J50" s="4"/>
      <c r="K50" s="4"/>
    </row>
    <row r="51" customFormat="false" ht="15" hidden="false" customHeight="false" outlineLevel="0" collapsed="false">
      <c r="A51" s="18"/>
      <c r="B51" s="4"/>
      <c r="C51" s="10"/>
      <c r="D51" s="4"/>
      <c r="E51" s="4"/>
      <c r="F51" s="4"/>
      <c r="G51" s="4"/>
      <c r="H51" s="4"/>
      <c r="I51" s="4"/>
      <c r="J51" s="4"/>
      <c r="K51" s="4"/>
    </row>
    <row r="52" customFormat="false" ht="15" hidden="false" customHeight="false" outlineLevel="0" collapsed="false">
      <c r="A52" s="18"/>
      <c r="B52" s="4"/>
      <c r="C52" s="10"/>
      <c r="D52" s="4"/>
      <c r="E52" s="4"/>
      <c r="F52" s="4"/>
      <c r="G52" s="4"/>
      <c r="H52" s="4"/>
      <c r="I52" s="4"/>
      <c r="J52" s="4"/>
      <c r="K52" s="4"/>
    </row>
    <row r="53" customFormat="false" ht="15" hidden="false" customHeight="false" outlineLevel="0" collapsed="false">
      <c r="A53" s="18"/>
      <c r="B53" s="4"/>
      <c r="C53" s="10"/>
      <c r="D53" s="4"/>
      <c r="E53" s="4"/>
      <c r="F53" s="4"/>
      <c r="G53" s="4"/>
      <c r="H53" s="4"/>
      <c r="I53" s="4"/>
      <c r="J53" s="4"/>
      <c r="K53" s="4"/>
    </row>
    <row r="54" customFormat="false" ht="15" hidden="false" customHeight="false" outlineLevel="0" collapsed="false">
      <c r="A54" s="18"/>
      <c r="B54" s="4"/>
      <c r="C54" s="10"/>
      <c r="D54" s="4"/>
      <c r="E54" s="4"/>
      <c r="F54" s="4"/>
      <c r="G54" s="4"/>
      <c r="H54" s="4"/>
      <c r="I54" s="4"/>
      <c r="J54" s="4"/>
      <c r="K54" s="4"/>
    </row>
    <row r="55" customFormat="false" ht="15" hidden="false" customHeight="false" outlineLevel="0" collapsed="false">
      <c r="A55" s="18"/>
      <c r="B55" s="4"/>
      <c r="C55" s="10"/>
      <c r="D55" s="4"/>
      <c r="E55" s="4"/>
      <c r="F55" s="4"/>
      <c r="G55" s="4"/>
      <c r="H55" s="4"/>
      <c r="I55" s="4"/>
      <c r="J55" s="4"/>
      <c r="K55" s="4"/>
    </row>
    <row r="56" customFormat="false" ht="15" hidden="false" customHeight="false" outlineLevel="0" collapsed="false">
      <c r="A56" s="18"/>
      <c r="B56" s="4"/>
      <c r="C56" s="10"/>
      <c r="D56" s="4"/>
      <c r="E56" s="4"/>
      <c r="F56" s="4"/>
      <c r="G56" s="4"/>
      <c r="H56" s="4"/>
      <c r="I56" s="4"/>
      <c r="J56" s="4"/>
      <c r="K56" s="4"/>
    </row>
    <row r="57" customFormat="false" ht="15" hidden="false" customHeight="false" outlineLevel="0" collapsed="false">
      <c r="A57" s="18"/>
      <c r="B57" s="4"/>
      <c r="C57" s="10"/>
      <c r="D57" s="4"/>
      <c r="E57" s="4"/>
      <c r="F57" s="4"/>
      <c r="G57" s="4"/>
      <c r="H57" s="4"/>
      <c r="I57" s="4"/>
      <c r="J57" s="4"/>
      <c r="K57" s="4"/>
    </row>
    <row r="58" customFormat="false" ht="15" hidden="false" customHeight="false" outlineLevel="0" collapsed="false">
      <c r="A58" s="18"/>
      <c r="B58" s="4"/>
      <c r="C58" s="10"/>
      <c r="D58" s="4"/>
      <c r="E58" s="4"/>
      <c r="F58" s="4"/>
      <c r="G58" s="4"/>
      <c r="H58" s="4"/>
      <c r="I58" s="4"/>
      <c r="J58" s="4"/>
      <c r="K58" s="4"/>
    </row>
    <row r="59" customFormat="false" ht="15" hidden="false" customHeight="false" outlineLevel="0" collapsed="false">
      <c r="A59" s="18"/>
      <c r="B59" s="4"/>
      <c r="C59" s="10"/>
      <c r="D59" s="4"/>
      <c r="E59" s="4"/>
      <c r="F59" s="4"/>
      <c r="G59" s="4"/>
      <c r="H59" s="4"/>
      <c r="I59" s="4"/>
      <c r="J59" s="4"/>
      <c r="K59" s="4"/>
    </row>
    <row r="60" customFormat="false" ht="15" hidden="false" customHeight="false" outlineLevel="0" collapsed="false">
      <c r="A60" s="18"/>
      <c r="B60" s="4"/>
      <c r="C60" s="10"/>
      <c r="D60" s="4"/>
      <c r="E60" s="4"/>
      <c r="F60" s="4"/>
      <c r="G60" s="4"/>
      <c r="H60" s="4"/>
      <c r="I60" s="4"/>
      <c r="J60" s="4"/>
      <c r="K60" s="4"/>
    </row>
    <row r="61" customFormat="false" ht="15" hidden="false" customHeight="false" outlineLevel="0" collapsed="false">
      <c r="A61" s="18"/>
      <c r="B61" s="4"/>
      <c r="C61" s="10"/>
      <c r="D61" s="4"/>
      <c r="E61" s="4"/>
      <c r="F61" s="4"/>
      <c r="G61" s="4"/>
      <c r="H61" s="4"/>
      <c r="I61" s="4"/>
      <c r="J61" s="4"/>
      <c r="K61" s="4"/>
    </row>
    <row r="62" customFormat="false" ht="15" hidden="false" customHeight="false" outlineLevel="0" collapsed="false">
      <c r="A62" s="18"/>
      <c r="B62" s="4"/>
      <c r="C62" s="10"/>
      <c r="D62" s="4"/>
      <c r="E62" s="4"/>
      <c r="F62" s="4"/>
      <c r="G62" s="4"/>
      <c r="H62" s="4"/>
      <c r="I62" s="4"/>
      <c r="J62" s="4"/>
      <c r="K62" s="4"/>
    </row>
    <row r="63" customFormat="false" ht="15" hidden="false" customHeight="false" outlineLevel="0" collapsed="false">
      <c r="A63" s="18"/>
      <c r="B63" s="4"/>
      <c r="C63" s="10"/>
      <c r="D63" s="4"/>
      <c r="E63" s="4"/>
      <c r="F63" s="4"/>
      <c r="G63" s="4"/>
      <c r="H63" s="4"/>
      <c r="I63" s="4"/>
      <c r="J63" s="4"/>
      <c r="K63" s="4"/>
    </row>
  </sheetData>
  <dataValidations count="1">
    <dataValidation allowBlank="true" errorStyle="stop" operator="between" showDropDown="false" showErrorMessage="false" showInputMessage="false" sqref="C5:C63" type="list">
      <formula1>"基肥,追肥,葉面肥,灌溉,土壤檢測"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8" min="7" style="0" width="9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0"/>
  </cols>
  <sheetData>
    <row r="1" customFormat="false" ht="19.7" hidden="false" customHeight="false" outlineLevel="0" collapsed="false">
      <c r="A1" s="1" t="s">
        <v>668</v>
      </c>
    </row>
    <row r="2" customFormat="false" ht="15" hidden="false" customHeight="false" outlineLevel="0" collapsed="false">
      <c r="A2" s="2" t="s">
        <v>644</v>
      </c>
    </row>
    <row r="3" customFormat="false" ht="30" hidden="false" customHeight="true" outlineLevel="0" collapsed="false">
      <c r="A3" s="7" t="s">
        <v>36</v>
      </c>
      <c r="B3" s="7" t="s">
        <v>645</v>
      </c>
      <c r="C3" s="7" t="s">
        <v>669</v>
      </c>
      <c r="D3" s="7" t="s">
        <v>670</v>
      </c>
      <c r="E3" s="7" t="s">
        <v>671</v>
      </c>
      <c r="F3" s="7" t="s">
        <v>672</v>
      </c>
      <c r="G3" s="7" t="s">
        <v>673</v>
      </c>
      <c r="H3" s="7" t="s">
        <v>674</v>
      </c>
      <c r="I3" s="7" t="s">
        <v>675</v>
      </c>
      <c r="J3" s="7" t="s">
        <v>676</v>
      </c>
      <c r="K3" s="7" t="s">
        <v>648</v>
      </c>
    </row>
    <row r="4" customFormat="false" ht="15" hidden="false" customHeight="false" outlineLevel="0" collapsed="false">
      <c r="A4" s="42" t="n">
        <v>46329</v>
      </c>
      <c r="B4" s="43" t="s">
        <v>651</v>
      </c>
      <c r="C4" s="44" t="s">
        <v>677</v>
      </c>
      <c r="D4" s="43" t="n">
        <v>12</v>
      </c>
      <c r="E4" s="43" t="s">
        <v>678</v>
      </c>
      <c r="F4" s="43" t="s">
        <v>679</v>
      </c>
      <c r="G4" s="43" t="n">
        <v>2000</v>
      </c>
      <c r="H4" s="43" t="n">
        <v>200</v>
      </c>
      <c r="I4" s="43" t="n">
        <v>6</v>
      </c>
      <c r="J4" s="42" t="n">
        <f aca="false">IF(OR(A4="",I4=""),"",A4+I4)</f>
        <v>46335</v>
      </c>
      <c r="K4" s="44" t="s">
        <v>667</v>
      </c>
    </row>
    <row r="5" customFormat="false" ht="15" hidden="false" customHeight="false" outlineLevel="0" collapsed="false">
      <c r="A5" s="18"/>
      <c r="B5" s="4"/>
      <c r="C5" s="4"/>
      <c r="D5" s="4"/>
      <c r="E5" s="4"/>
      <c r="F5" s="4"/>
      <c r="G5" s="4"/>
      <c r="H5" s="4"/>
      <c r="I5" s="4"/>
      <c r="J5" s="18" t="str">
        <f aca="false">IF(OR(A5="",I5=""),"",A5+I5)</f>
        <v/>
      </c>
      <c r="K5" s="4"/>
    </row>
    <row r="6" customFormat="false" ht="15" hidden="false" customHeight="false" outlineLevel="0" collapsed="false">
      <c r="A6" s="18"/>
      <c r="B6" s="4"/>
      <c r="C6" s="4"/>
      <c r="D6" s="4"/>
      <c r="E6" s="4"/>
      <c r="F6" s="4"/>
      <c r="G6" s="4"/>
      <c r="H6" s="4"/>
      <c r="I6" s="4"/>
      <c r="J6" s="18" t="str">
        <f aca="false">IF(OR(A6="",I6=""),"",A6+I6)</f>
        <v/>
      </c>
      <c r="K6" s="4"/>
    </row>
    <row r="7" customFormat="false" ht="15" hidden="false" customHeight="false" outlineLevel="0" collapsed="false">
      <c r="A7" s="18"/>
      <c r="B7" s="4"/>
      <c r="C7" s="4"/>
      <c r="D7" s="4"/>
      <c r="E7" s="4"/>
      <c r="F7" s="4"/>
      <c r="G7" s="4"/>
      <c r="H7" s="4"/>
      <c r="I7" s="4"/>
      <c r="J7" s="18" t="str">
        <f aca="false">IF(OR(A7="",I7=""),"",A7+I7)</f>
        <v/>
      </c>
      <c r="K7" s="4"/>
    </row>
    <row r="8" customFormat="false" ht="15" hidden="false" customHeight="false" outlineLevel="0" collapsed="false">
      <c r="A8" s="18"/>
      <c r="B8" s="4"/>
      <c r="C8" s="4"/>
      <c r="D8" s="4"/>
      <c r="E8" s="4"/>
      <c r="F8" s="4"/>
      <c r="G8" s="4"/>
      <c r="H8" s="4"/>
      <c r="I8" s="4"/>
      <c r="J8" s="18" t="str">
        <f aca="false">IF(OR(A8="",I8=""),"",A8+I8)</f>
        <v/>
      </c>
      <c r="K8" s="4"/>
    </row>
    <row r="9" customFormat="false" ht="15" hidden="false" customHeight="false" outlineLevel="0" collapsed="false">
      <c r="A9" s="18"/>
      <c r="B9" s="4"/>
      <c r="C9" s="4"/>
      <c r="D9" s="4"/>
      <c r="E9" s="4"/>
      <c r="F9" s="4"/>
      <c r="G9" s="4"/>
      <c r="H9" s="4"/>
      <c r="I9" s="4"/>
      <c r="J9" s="18" t="str">
        <f aca="false">IF(OR(A9="",I9=""),"",A9+I9)</f>
        <v/>
      </c>
      <c r="K9" s="4"/>
    </row>
    <row r="10" customFormat="false" ht="15" hidden="false" customHeight="false" outlineLevel="0" collapsed="false">
      <c r="A10" s="18"/>
      <c r="B10" s="4"/>
      <c r="C10" s="4"/>
      <c r="D10" s="4"/>
      <c r="E10" s="4"/>
      <c r="F10" s="4"/>
      <c r="G10" s="4"/>
      <c r="H10" s="4"/>
      <c r="I10" s="4"/>
      <c r="J10" s="18" t="str">
        <f aca="false">IF(OR(A10="",I10=""),"",A10+I10)</f>
        <v/>
      </c>
      <c r="K10" s="4"/>
    </row>
    <row r="11" customFormat="false" ht="15" hidden="false" customHeight="false" outlineLevel="0" collapsed="false">
      <c r="A11" s="18"/>
      <c r="B11" s="4"/>
      <c r="C11" s="4"/>
      <c r="D11" s="4"/>
      <c r="E11" s="4"/>
      <c r="F11" s="4"/>
      <c r="G11" s="4"/>
      <c r="H11" s="4"/>
      <c r="I11" s="4"/>
      <c r="J11" s="18" t="str">
        <f aca="false">IF(OR(A11="",I11=""),"",A11+I11)</f>
        <v/>
      </c>
      <c r="K11" s="4"/>
    </row>
    <row r="12" customFormat="false" ht="15" hidden="false" customHeight="false" outlineLevel="0" collapsed="false">
      <c r="A12" s="18"/>
      <c r="B12" s="4"/>
      <c r="C12" s="4"/>
      <c r="D12" s="4"/>
      <c r="E12" s="4"/>
      <c r="F12" s="4"/>
      <c r="G12" s="4"/>
      <c r="H12" s="4"/>
      <c r="I12" s="4"/>
      <c r="J12" s="18" t="str">
        <f aca="false">IF(OR(A12="",I12=""),"",A12+I12)</f>
        <v/>
      </c>
      <c r="K12" s="4"/>
    </row>
    <row r="13" customFormat="false" ht="15" hidden="false" customHeight="false" outlineLevel="0" collapsed="false">
      <c r="A13" s="18"/>
      <c r="B13" s="4"/>
      <c r="C13" s="4"/>
      <c r="D13" s="4"/>
      <c r="E13" s="4"/>
      <c r="F13" s="4"/>
      <c r="G13" s="4"/>
      <c r="H13" s="4"/>
      <c r="I13" s="4"/>
      <c r="J13" s="18" t="str">
        <f aca="false">IF(OR(A13="",I13=""),"",A13+I13)</f>
        <v/>
      </c>
      <c r="K13" s="4"/>
    </row>
    <row r="14" customFormat="false" ht="15" hidden="false" customHeight="false" outlineLevel="0" collapsed="false">
      <c r="A14" s="18"/>
      <c r="B14" s="4"/>
      <c r="C14" s="4"/>
      <c r="D14" s="4"/>
      <c r="E14" s="4"/>
      <c r="F14" s="4"/>
      <c r="G14" s="4"/>
      <c r="H14" s="4"/>
      <c r="I14" s="4"/>
      <c r="J14" s="18" t="str">
        <f aca="false">IF(OR(A14="",I14=""),"",A14+I14)</f>
        <v/>
      </c>
      <c r="K14" s="4"/>
    </row>
    <row r="15" customFormat="false" ht="15" hidden="false" customHeight="false" outlineLevel="0" collapsed="false">
      <c r="A15" s="18"/>
      <c r="B15" s="4"/>
      <c r="C15" s="4"/>
      <c r="D15" s="4"/>
      <c r="E15" s="4"/>
      <c r="F15" s="4"/>
      <c r="G15" s="4"/>
      <c r="H15" s="4"/>
      <c r="I15" s="4"/>
      <c r="J15" s="18" t="str">
        <f aca="false">IF(OR(A15="",I15=""),"",A15+I15)</f>
        <v/>
      </c>
      <c r="K15" s="4"/>
    </row>
    <row r="16" customFormat="false" ht="15" hidden="false" customHeight="false" outlineLevel="0" collapsed="false">
      <c r="A16" s="18"/>
      <c r="B16" s="4"/>
      <c r="C16" s="4"/>
      <c r="D16" s="4"/>
      <c r="E16" s="4"/>
      <c r="F16" s="4"/>
      <c r="G16" s="4"/>
      <c r="H16" s="4"/>
      <c r="I16" s="4"/>
      <c r="J16" s="18" t="str">
        <f aca="false">IF(OR(A16="",I16=""),"",A16+I16)</f>
        <v/>
      </c>
      <c r="K16" s="4"/>
    </row>
    <row r="17" customFormat="false" ht="15" hidden="false" customHeight="false" outlineLevel="0" collapsed="false">
      <c r="A17" s="18"/>
      <c r="B17" s="4"/>
      <c r="C17" s="4"/>
      <c r="D17" s="4"/>
      <c r="E17" s="4"/>
      <c r="F17" s="4"/>
      <c r="G17" s="4"/>
      <c r="H17" s="4"/>
      <c r="I17" s="4"/>
      <c r="J17" s="18" t="str">
        <f aca="false">IF(OR(A17="",I17=""),"",A17+I17)</f>
        <v/>
      </c>
      <c r="K17" s="4"/>
    </row>
    <row r="18" customFormat="false" ht="15" hidden="false" customHeight="false" outlineLevel="0" collapsed="false">
      <c r="A18" s="18"/>
      <c r="B18" s="4"/>
      <c r="C18" s="4"/>
      <c r="D18" s="4"/>
      <c r="E18" s="4"/>
      <c r="F18" s="4"/>
      <c r="G18" s="4"/>
      <c r="H18" s="4"/>
      <c r="I18" s="4"/>
      <c r="J18" s="18" t="str">
        <f aca="false">IF(OR(A18="",I18=""),"",A18+I18)</f>
        <v/>
      </c>
      <c r="K18" s="4"/>
    </row>
    <row r="19" customFormat="false" ht="15" hidden="false" customHeight="false" outlineLevel="0" collapsed="false">
      <c r="A19" s="18"/>
      <c r="B19" s="4"/>
      <c r="C19" s="4"/>
      <c r="D19" s="4"/>
      <c r="E19" s="4"/>
      <c r="F19" s="4"/>
      <c r="G19" s="4"/>
      <c r="H19" s="4"/>
      <c r="I19" s="4"/>
      <c r="J19" s="18" t="str">
        <f aca="false">IF(OR(A19="",I19=""),"",A19+I19)</f>
        <v/>
      </c>
      <c r="K19" s="4"/>
    </row>
    <row r="20" customFormat="false" ht="15" hidden="false" customHeight="false" outlineLevel="0" collapsed="false">
      <c r="A20" s="18"/>
      <c r="B20" s="4"/>
      <c r="C20" s="4"/>
      <c r="D20" s="4"/>
      <c r="E20" s="4"/>
      <c r="F20" s="4"/>
      <c r="G20" s="4"/>
      <c r="H20" s="4"/>
      <c r="I20" s="4"/>
      <c r="J20" s="18" t="str">
        <f aca="false">IF(OR(A20="",I20=""),"",A20+I20)</f>
        <v/>
      </c>
      <c r="K20" s="4"/>
    </row>
    <row r="21" customFormat="false" ht="15" hidden="false" customHeight="false" outlineLevel="0" collapsed="false">
      <c r="A21" s="18"/>
      <c r="B21" s="4"/>
      <c r="C21" s="4"/>
      <c r="D21" s="4"/>
      <c r="E21" s="4"/>
      <c r="F21" s="4"/>
      <c r="G21" s="4"/>
      <c r="H21" s="4"/>
      <c r="I21" s="4"/>
      <c r="J21" s="18" t="str">
        <f aca="false">IF(OR(A21="",I21=""),"",A21+I21)</f>
        <v/>
      </c>
      <c r="K21" s="4"/>
    </row>
    <row r="22" customFormat="false" ht="15" hidden="false" customHeight="false" outlineLevel="0" collapsed="false">
      <c r="A22" s="18"/>
      <c r="B22" s="4"/>
      <c r="C22" s="4"/>
      <c r="D22" s="4"/>
      <c r="E22" s="4"/>
      <c r="F22" s="4"/>
      <c r="G22" s="4"/>
      <c r="H22" s="4"/>
      <c r="I22" s="4"/>
      <c r="J22" s="18" t="str">
        <f aca="false">IF(OR(A22="",I22=""),"",A22+I22)</f>
        <v/>
      </c>
      <c r="K22" s="4"/>
    </row>
    <row r="23" customFormat="false" ht="15" hidden="false" customHeight="false" outlineLevel="0" collapsed="false">
      <c r="A23" s="18"/>
      <c r="B23" s="4"/>
      <c r="C23" s="4"/>
      <c r="D23" s="4"/>
      <c r="E23" s="4"/>
      <c r="F23" s="4"/>
      <c r="G23" s="4"/>
      <c r="H23" s="4"/>
      <c r="I23" s="4"/>
      <c r="J23" s="18" t="str">
        <f aca="false">IF(OR(A23="",I23=""),"",A23+I23)</f>
        <v/>
      </c>
      <c r="K23" s="4"/>
    </row>
    <row r="24" customFormat="false" ht="15" hidden="false" customHeight="false" outlineLevel="0" collapsed="false">
      <c r="A24" s="18"/>
      <c r="B24" s="4"/>
      <c r="C24" s="4"/>
      <c r="D24" s="4"/>
      <c r="E24" s="4"/>
      <c r="F24" s="4"/>
      <c r="G24" s="4"/>
      <c r="H24" s="4"/>
      <c r="I24" s="4"/>
      <c r="J24" s="18" t="str">
        <f aca="false">IF(OR(A24="",I24=""),"",A24+I24)</f>
        <v/>
      </c>
      <c r="K24" s="4"/>
    </row>
    <row r="25" customFormat="false" ht="15" hidden="false" customHeight="false" outlineLevel="0" collapsed="false">
      <c r="A25" s="18"/>
      <c r="B25" s="4"/>
      <c r="C25" s="4"/>
      <c r="D25" s="4"/>
      <c r="E25" s="4"/>
      <c r="F25" s="4"/>
      <c r="G25" s="4"/>
      <c r="H25" s="4"/>
      <c r="I25" s="4"/>
      <c r="J25" s="18" t="str">
        <f aca="false">IF(OR(A25="",I25=""),"",A25+I25)</f>
        <v/>
      </c>
      <c r="K25" s="4"/>
    </row>
    <row r="26" customFormat="false" ht="15" hidden="false" customHeight="false" outlineLevel="0" collapsed="false">
      <c r="A26" s="18"/>
      <c r="B26" s="4"/>
      <c r="C26" s="4"/>
      <c r="D26" s="4"/>
      <c r="E26" s="4"/>
      <c r="F26" s="4"/>
      <c r="G26" s="4"/>
      <c r="H26" s="4"/>
      <c r="I26" s="4"/>
      <c r="J26" s="18" t="str">
        <f aca="false">IF(OR(A26="",I26=""),"",A26+I26)</f>
        <v/>
      </c>
      <c r="K26" s="4"/>
    </row>
    <row r="27" customFormat="false" ht="15" hidden="false" customHeight="false" outlineLevel="0" collapsed="false">
      <c r="A27" s="18"/>
      <c r="B27" s="4"/>
      <c r="C27" s="4"/>
      <c r="D27" s="4"/>
      <c r="E27" s="4"/>
      <c r="F27" s="4"/>
      <c r="G27" s="4"/>
      <c r="H27" s="4"/>
      <c r="I27" s="4"/>
      <c r="J27" s="18" t="str">
        <f aca="false">IF(OR(A27="",I27=""),"",A27+I27)</f>
        <v/>
      </c>
      <c r="K27" s="4"/>
    </row>
    <row r="28" customFormat="false" ht="15" hidden="false" customHeight="false" outlineLevel="0" collapsed="false">
      <c r="A28" s="18"/>
      <c r="B28" s="4"/>
      <c r="C28" s="4"/>
      <c r="D28" s="4"/>
      <c r="E28" s="4"/>
      <c r="F28" s="4"/>
      <c r="G28" s="4"/>
      <c r="H28" s="4"/>
      <c r="I28" s="4"/>
      <c r="J28" s="18" t="str">
        <f aca="false">IF(OR(A28="",I28=""),"",A28+I28)</f>
        <v/>
      </c>
      <c r="K28" s="4"/>
    </row>
    <row r="29" customFormat="false" ht="15" hidden="false" customHeight="false" outlineLevel="0" collapsed="false">
      <c r="A29" s="18"/>
      <c r="B29" s="4"/>
      <c r="C29" s="4"/>
      <c r="D29" s="4"/>
      <c r="E29" s="4"/>
      <c r="F29" s="4"/>
      <c r="G29" s="4"/>
      <c r="H29" s="4"/>
      <c r="I29" s="4"/>
      <c r="J29" s="18" t="str">
        <f aca="false">IF(OR(A29="",I29=""),"",A29+I29)</f>
        <v/>
      </c>
      <c r="K29" s="4"/>
    </row>
    <row r="30" customFormat="false" ht="15" hidden="false" customHeight="false" outlineLevel="0" collapsed="false">
      <c r="A30" s="18"/>
      <c r="B30" s="4"/>
      <c r="C30" s="4"/>
      <c r="D30" s="4"/>
      <c r="E30" s="4"/>
      <c r="F30" s="4"/>
      <c r="G30" s="4"/>
      <c r="H30" s="4"/>
      <c r="I30" s="4"/>
      <c r="J30" s="18" t="str">
        <f aca="false">IF(OR(A30="",I30=""),"",A30+I30)</f>
        <v/>
      </c>
      <c r="K30" s="4"/>
    </row>
    <row r="31" customFormat="false" ht="15" hidden="false" customHeight="false" outlineLevel="0" collapsed="false">
      <c r="A31" s="18"/>
      <c r="B31" s="4"/>
      <c r="C31" s="4"/>
      <c r="D31" s="4"/>
      <c r="E31" s="4"/>
      <c r="F31" s="4"/>
      <c r="G31" s="4"/>
      <c r="H31" s="4"/>
      <c r="I31" s="4"/>
      <c r="J31" s="18" t="str">
        <f aca="false">IF(OR(A31="",I31=""),"",A31+I31)</f>
        <v/>
      </c>
      <c r="K31" s="4"/>
    </row>
    <row r="32" customFormat="false" ht="15" hidden="false" customHeight="false" outlineLevel="0" collapsed="false">
      <c r="A32" s="18"/>
      <c r="B32" s="4"/>
      <c r="C32" s="4"/>
      <c r="D32" s="4"/>
      <c r="E32" s="4"/>
      <c r="F32" s="4"/>
      <c r="G32" s="4"/>
      <c r="H32" s="4"/>
      <c r="I32" s="4"/>
      <c r="J32" s="18" t="str">
        <f aca="false">IF(OR(A32="",I32=""),"",A32+I32)</f>
        <v/>
      </c>
      <c r="K32" s="4"/>
    </row>
    <row r="33" customFormat="false" ht="15" hidden="false" customHeight="false" outlineLevel="0" collapsed="false">
      <c r="A33" s="18"/>
      <c r="B33" s="4"/>
      <c r="C33" s="4"/>
      <c r="D33" s="4"/>
      <c r="E33" s="4"/>
      <c r="F33" s="4"/>
      <c r="G33" s="4"/>
      <c r="H33" s="4"/>
      <c r="I33" s="4"/>
      <c r="J33" s="18" t="str">
        <f aca="false">IF(OR(A33="",I33=""),"",A33+I33)</f>
        <v/>
      </c>
      <c r="K33" s="4"/>
    </row>
    <row r="34" customFormat="false" ht="15" hidden="false" customHeight="false" outlineLevel="0" collapsed="false">
      <c r="A34" s="18"/>
      <c r="B34" s="4"/>
      <c r="C34" s="4"/>
      <c r="D34" s="4"/>
      <c r="E34" s="4"/>
      <c r="F34" s="4"/>
      <c r="G34" s="4"/>
      <c r="H34" s="4"/>
      <c r="I34" s="4"/>
      <c r="J34" s="18" t="str">
        <f aca="false">IF(OR(A34="",I34=""),"",A34+I34)</f>
        <v/>
      </c>
      <c r="K34" s="4"/>
    </row>
    <row r="35" customFormat="false" ht="15" hidden="false" customHeight="false" outlineLevel="0" collapsed="false">
      <c r="A35" s="18"/>
      <c r="B35" s="4"/>
      <c r="C35" s="4"/>
      <c r="D35" s="4"/>
      <c r="E35" s="4"/>
      <c r="F35" s="4"/>
      <c r="G35" s="4"/>
      <c r="H35" s="4"/>
      <c r="I35" s="4"/>
      <c r="J35" s="18" t="str">
        <f aca="false">IF(OR(A35="",I35=""),"",A35+I35)</f>
        <v/>
      </c>
      <c r="K35" s="4"/>
    </row>
    <row r="36" customFormat="false" ht="15" hidden="false" customHeight="false" outlineLevel="0" collapsed="false">
      <c r="A36" s="18"/>
      <c r="B36" s="4"/>
      <c r="C36" s="4"/>
      <c r="D36" s="4"/>
      <c r="E36" s="4"/>
      <c r="F36" s="4"/>
      <c r="G36" s="4"/>
      <c r="H36" s="4"/>
      <c r="I36" s="4"/>
      <c r="J36" s="18" t="str">
        <f aca="false">IF(OR(A36="",I36=""),"",A36+I36)</f>
        <v/>
      </c>
      <c r="K36" s="4"/>
    </row>
    <row r="37" customFormat="false" ht="15" hidden="false" customHeight="false" outlineLevel="0" collapsed="false">
      <c r="A37" s="18"/>
      <c r="B37" s="4"/>
      <c r="C37" s="4"/>
      <c r="D37" s="4"/>
      <c r="E37" s="4"/>
      <c r="F37" s="4"/>
      <c r="G37" s="4"/>
      <c r="H37" s="4"/>
      <c r="I37" s="4"/>
      <c r="J37" s="18" t="str">
        <f aca="false">IF(OR(A37="",I37=""),"",A37+I37)</f>
        <v/>
      </c>
      <c r="K37" s="4"/>
    </row>
    <row r="38" customFormat="false" ht="15" hidden="false" customHeight="false" outlineLevel="0" collapsed="false">
      <c r="A38" s="18"/>
      <c r="B38" s="4"/>
      <c r="C38" s="4"/>
      <c r="D38" s="4"/>
      <c r="E38" s="4"/>
      <c r="F38" s="4"/>
      <c r="G38" s="4"/>
      <c r="H38" s="4"/>
      <c r="I38" s="4"/>
      <c r="J38" s="18" t="str">
        <f aca="false">IF(OR(A38="",I38=""),"",A38+I38)</f>
        <v/>
      </c>
      <c r="K38" s="4"/>
    </row>
    <row r="39" customFormat="false" ht="15" hidden="false" customHeight="false" outlineLevel="0" collapsed="false">
      <c r="A39" s="18"/>
      <c r="B39" s="4"/>
      <c r="C39" s="4"/>
      <c r="D39" s="4"/>
      <c r="E39" s="4"/>
      <c r="F39" s="4"/>
      <c r="G39" s="4"/>
      <c r="H39" s="4"/>
      <c r="I39" s="4"/>
      <c r="J39" s="18" t="str">
        <f aca="false">IF(OR(A39="",I39=""),"",A39+I39)</f>
        <v/>
      </c>
      <c r="K39" s="4"/>
    </row>
    <row r="40" customFormat="false" ht="15" hidden="false" customHeight="false" outlineLevel="0" collapsed="false">
      <c r="A40" s="18"/>
      <c r="B40" s="4"/>
      <c r="C40" s="4"/>
      <c r="D40" s="4"/>
      <c r="E40" s="4"/>
      <c r="F40" s="4"/>
      <c r="G40" s="4"/>
      <c r="H40" s="4"/>
      <c r="I40" s="4"/>
      <c r="J40" s="18" t="str">
        <f aca="false">IF(OR(A40="",I40=""),"",A40+I40)</f>
        <v/>
      </c>
      <c r="K40" s="4"/>
    </row>
    <row r="41" customFormat="false" ht="15" hidden="false" customHeight="false" outlineLevel="0" collapsed="false">
      <c r="A41" s="18"/>
      <c r="B41" s="4"/>
      <c r="C41" s="4"/>
      <c r="D41" s="4"/>
      <c r="E41" s="4"/>
      <c r="F41" s="4"/>
      <c r="G41" s="4"/>
      <c r="H41" s="4"/>
      <c r="I41" s="4"/>
      <c r="J41" s="18" t="str">
        <f aca="false">IF(OR(A41="",I41=""),"",A41+I41)</f>
        <v/>
      </c>
      <c r="K41" s="4"/>
    </row>
    <row r="42" customFormat="false" ht="15" hidden="false" customHeight="false" outlineLevel="0" collapsed="false">
      <c r="A42" s="18"/>
      <c r="B42" s="4"/>
      <c r="C42" s="4"/>
      <c r="D42" s="4"/>
      <c r="E42" s="4"/>
      <c r="F42" s="4"/>
      <c r="G42" s="4"/>
      <c r="H42" s="4"/>
      <c r="I42" s="4"/>
      <c r="J42" s="18" t="str">
        <f aca="false">IF(OR(A42="",I42=""),"",A42+I42)</f>
        <v/>
      </c>
      <c r="K42" s="4"/>
    </row>
    <row r="43" customFormat="false" ht="15" hidden="false" customHeight="false" outlineLevel="0" collapsed="false">
      <c r="A43" s="18"/>
      <c r="B43" s="4"/>
      <c r="C43" s="4"/>
      <c r="D43" s="4"/>
      <c r="E43" s="4"/>
      <c r="F43" s="4"/>
      <c r="G43" s="4"/>
      <c r="H43" s="4"/>
      <c r="I43" s="4"/>
      <c r="J43" s="18" t="str">
        <f aca="false">IF(OR(A43="",I43=""),"",A43+I43)</f>
        <v/>
      </c>
      <c r="K43" s="4"/>
    </row>
    <row r="44" customFormat="false" ht="15" hidden="false" customHeight="false" outlineLevel="0" collapsed="false">
      <c r="A44" s="18"/>
      <c r="B44" s="4"/>
      <c r="C44" s="4"/>
      <c r="D44" s="4"/>
      <c r="E44" s="4"/>
      <c r="F44" s="4"/>
      <c r="G44" s="4"/>
      <c r="H44" s="4"/>
      <c r="I44" s="4"/>
      <c r="J44" s="18" t="str">
        <f aca="false">IF(OR(A44="",I44=""),"",A44+I44)</f>
        <v/>
      </c>
      <c r="K44" s="4"/>
    </row>
    <row r="45" customFormat="false" ht="15" hidden="false" customHeight="false" outlineLevel="0" collapsed="false">
      <c r="A45" s="18"/>
      <c r="B45" s="4"/>
      <c r="C45" s="4"/>
      <c r="D45" s="4"/>
      <c r="E45" s="4"/>
      <c r="F45" s="4"/>
      <c r="G45" s="4"/>
      <c r="H45" s="4"/>
      <c r="I45" s="4"/>
      <c r="J45" s="18" t="str">
        <f aca="false">IF(OR(A45="",I45=""),"",A45+I45)</f>
        <v/>
      </c>
      <c r="K45" s="4"/>
    </row>
    <row r="46" customFormat="false" ht="15" hidden="false" customHeight="false" outlineLevel="0" collapsed="false">
      <c r="A46" s="18"/>
      <c r="B46" s="4"/>
      <c r="C46" s="4"/>
      <c r="D46" s="4"/>
      <c r="E46" s="4"/>
      <c r="F46" s="4"/>
      <c r="G46" s="4"/>
      <c r="H46" s="4"/>
      <c r="I46" s="4"/>
      <c r="J46" s="18" t="str">
        <f aca="false">IF(OR(A46="",I46=""),"",A46+I46)</f>
        <v/>
      </c>
      <c r="K46" s="4"/>
    </row>
    <row r="47" customFormat="false" ht="15" hidden="false" customHeight="false" outlineLevel="0" collapsed="false">
      <c r="A47" s="18"/>
      <c r="B47" s="4"/>
      <c r="C47" s="4"/>
      <c r="D47" s="4"/>
      <c r="E47" s="4"/>
      <c r="F47" s="4"/>
      <c r="G47" s="4"/>
      <c r="H47" s="4"/>
      <c r="I47" s="4"/>
      <c r="J47" s="18" t="str">
        <f aca="false">IF(OR(A47="",I47=""),"",A47+I47)</f>
        <v/>
      </c>
      <c r="K47" s="4"/>
    </row>
    <row r="48" customFormat="false" ht="15" hidden="false" customHeight="false" outlineLevel="0" collapsed="false">
      <c r="A48" s="18"/>
      <c r="B48" s="4"/>
      <c r="C48" s="4"/>
      <c r="D48" s="4"/>
      <c r="E48" s="4"/>
      <c r="F48" s="4"/>
      <c r="G48" s="4"/>
      <c r="H48" s="4"/>
      <c r="I48" s="4"/>
      <c r="J48" s="18" t="str">
        <f aca="false">IF(OR(A48="",I48=""),"",A48+I48)</f>
        <v/>
      </c>
      <c r="K48" s="4"/>
    </row>
    <row r="49" customFormat="false" ht="15" hidden="false" customHeight="false" outlineLevel="0" collapsed="false">
      <c r="A49" s="18"/>
      <c r="B49" s="4"/>
      <c r="C49" s="4"/>
      <c r="D49" s="4"/>
      <c r="E49" s="4"/>
      <c r="F49" s="4"/>
      <c r="G49" s="4"/>
      <c r="H49" s="4"/>
      <c r="I49" s="4"/>
      <c r="J49" s="18" t="str">
        <f aca="false">IF(OR(A49="",I49=""),"",A49+I49)</f>
        <v/>
      </c>
      <c r="K49" s="4"/>
    </row>
    <row r="50" customFormat="false" ht="15" hidden="false" customHeight="false" outlineLevel="0" collapsed="false">
      <c r="A50" s="18"/>
      <c r="B50" s="4"/>
      <c r="C50" s="4"/>
      <c r="D50" s="4"/>
      <c r="E50" s="4"/>
      <c r="F50" s="4"/>
      <c r="G50" s="4"/>
      <c r="H50" s="4"/>
      <c r="I50" s="4"/>
      <c r="J50" s="18" t="str">
        <f aca="false">IF(OR(A50="",I50=""),"",A50+I50)</f>
        <v/>
      </c>
      <c r="K50" s="4"/>
    </row>
    <row r="51" customFormat="false" ht="15" hidden="false" customHeight="false" outlineLevel="0" collapsed="false">
      <c r="A51" s="18"/>
      <c r="B51" s="4"/>
      <c r="C51" s="4"/>
      <c r="D51" s="4"/>
      <c r="E51" s="4"/>
      <c r="F51" s="4"/>
      <c r="G51" s="4"/>
      <c r="H51" s="4"/>
      <c r="I51" s="4"/>
      <c r="J51" s="18" t="str">
        <f aca="false">IF(OR(A51="",I51=""),"",A51+I51)</f>
        <v/>
      </c>
      <c r="K51" s="4"/>
    </row>
    <row r="52" customFormat="false" ht="15" hidden="false" customHeight="false" outlineLevel="0" collapsed="false">
      <c r="A52" s="18"/>
      <c r="B52" s="4"/>
      <c r="C52" s="4"/>
      <c r="D52" s="4"/>
      <c r="E52" s="4"/>
      <c r="F52" s="4"/>
      <c r="G52" s="4"/>
      <c r="H52" s="4"/>
      <c r="I52" s="4"/>
      <c r="J52" s="18" t="str">
        <f aca="false">IF(OR(A52="",I52=""),"",A52+I52)</f>
        <v/>
      </c>
      <c r="K52" s="4"/>
    </row>
    <row r="53" customFormat="false" ht="15" hidden="false" customHeight="false" outlineLevel="0" collapsed="false">
      <c r="A53" s="18"/>
      <c r="B53" s="4"/>
      <c r="C53" s="4"/>
      <c r="D53" s="4"/>
      <c r="E53" s="4"/>
      <c r="F53" s="4"/>
      <c r="G53" s="4"/>
      <c r="H53" s="4"/>
      <c r="I53" s="4"/>
      <c r="J53" s="18" t="str">
        <f aca="false">IF(OR(A53="",I53=""),"",A53+I53)</f>
        <v/>
      </c>
      <c r="K53" s="4"/>
    </row>
    <row r="54" customFormat="false" ht="15" hidden="false" customHeight="false" outlineLevel="0" collapsed="false">
      <c r="A54" s="18"/>
      <c r="B54" s="4"/>
      <c r="C54" s="4"/>
      <c r="D54" s="4"/>
      <c r="E54" s="4"/>
      <c r="F54" s="4"/>
      <c r="G54" s="4"/>
      <c r="H54" s="4"/>
      <c r="I54" s="4"/>
      <c r="J54" s="18" t="str">
        <f aca="false">IF(OR(A54="",I54=""),"",A54+I54)</f>
        <v/>
      </c>
      <c r="K54" s="4"/>
    </row>
    <row r="55" customFormat="false" ht="15" hidden="false" customHeight="false" outlineLevel="0" collapsed="false">
      <c r="A55" s="18"/>
      <c r="B55" s="4"/>
      <c r="C55" s="4"/>
      <c r="D55" s="4"/>
      <c r="E55" s="4"/>
      <c r="F55" s="4"/>
      <c r="G55" s="4"/>
      <c r="H55" s="4"/>
      <c r="I55" s="4"/>
      <c r="J55" s="18" t="str">
        <f aca="false">IF(OR(A55="",I55=""),"",A55+I55)</f>
        <v/>
      </c>
      <c r="K55" s="4"/>
    </row>
    <row r="56" customFormat="false" ht="15" hidden="false" customHeight="false" outlineLevel="0" collapsed="false">
      <c r="A56" s="18"/>
      <c r="B56" s="4"/>
      <c r="C56" s="4"/>
      <c r="D56" s="4"/>
      <c r="E56" s="4"/>
      <c r="F56" s="4"/>
      <c r="G56" s="4"/>
      <c r="H56" s="4"/>
      <c r="I56" s="4"/>
      <c r="J56" s="18" t="str">
        <f aca="false">IF(OR(A56="",I56=""),"",A56+I56)</f>
        <v/>
      </c>
      <c r="K56" s="4"/>
    </row>
    <row r="57" customFormat="false" ht="15" hidden="false" customHeight="false" outlineLevel="0" collapsed="false">
      <c r="A57" s="18"/>
      <c r="B57" s="4"/>
      <c r="C57" s="4"/>
      <c r="D57" s="4"/>
      <c r="E57" s="4"/>
      <c r="F57" s="4"/>
      <c r="G57" s="4"/>
      <c r="H57" s="4"/>
      <c r="I57" s="4"/>
      <c r="J57" s="18" t="str">
        <f aca="false">IF(OR(A57="",I57=""),"",A57+I57)</f>
        <v/>
      </c>
      <c r="K57" s="4"/>
    </row>
    <row r="58" customFormat="false" ht="15" hidden="false" customHeight="false" outlineLevel="0" collapsed="false">
      <c r="A58" s="18"/>
      <c r="B58" s="4"/>
      <c r="C58" s="4"/>
      <c r="D58" s="4"/>
      <c r="E58" s="4"/>
      <c r="F58" s="4"/>
      <c r="G58" s="4"/>
      <c r="H58" s="4"/>
      <c r="I58" s="4"/>
      <c r="J58" s="18" t="str">
        <f aca="false">IF(OR(A58="",I58=""),"",A58+I58)</f>
        <v/>
      </c>
      <c r="K58" s="4"/>
    </row>
    <row r="59" customFormat="false" ht="15" hidden="false" customHeight="false" outlineLevel="0" collapsed="false">
      <c r="A59" s="18"/>
      <c r="B59" s="4"/>
      <c r="C59" s="4"/>
      <c r="D59" s="4"/>
      <c r="E59" s="4"/>
      <c r="F59" s="4"/>
      <c r="G59" s="4"/>
      <c r="H59" s="4"/>
      <c r="I59" s="4"/>
      <c r="J59" s="18" t="str">
        <f aca="false">IF(OR(A59="",I59=""),"",A59+I59)</f>
        <v/>
      </c>
      <c r="K59" s="4"/>
    </row>
    <row r="60" customFormat="false" ht="15" hidden="false" customHeight="false" outlineLevel="0" collapsed="false">
      <c r="A60" s="18"/>
      <c r="B60" s="4"/>
      <c r="C60" s="4"/>
      <c r="D60" s="4"/>
      <c r="E60" s="4"/>
      <c r="F60" s="4"/>
      <c r="G60" s="4"/>
      <c r="H60" s="4"/>
      <c r="I60" s="4"/>
      <c r="J60" s="18" t="str">
        <f aca="false">IF(OR(A60="",I60=""),"",A60+I60)</f>
        <v/>
      </c>
      <c r="K60" s="4"/>
    </row>
    <row r="61" customFormat="false" ht="15" hidden="false" customHeight="false" outlineLevel="0" collapsed="false">
      <c r="A61" s="18"/>
      <c r="B61" s="4"/>
      <c r="C61" s="4"/>
      <c r="D61" s="4"/>
      <c r="E61" s="4"/>
      <c r="F61" s="4"/>
      <c r="G61" s="4"/>
      <c r="H61" s="4"/>
      <c r="I61" s="4"/>
      <c r="J61" s="18" t="str">
        <f aca="false">IF(OR(A61="",I61=""),"",A61+I61)</f>
        <v/>
      </c>
      <c r="K61" s="4"/>
    </row>
    <row r="62" customFormat="false" ht="15" hidden="false" customHeight="false" outlineLevel="0" collapsed="false">
      <c r="A62" s="18"/>
      <c r="B62" s="4"/>
      <c r="C62" s="4"/>
      <c r="D62" s="4"/>
      <c r="E62" s="4"/>
      <c r="F62" s="4"/>
      <c r="G62" s="4"/>
      <c r="H62" s="4"/>
      <c r="I62" s="4"/>
      <c r="J62" s="18" t="str">
        <f aca="false">IF(OR(A62="",I62=""),"",A62+I62)</f>
        <v/>
      </c>
      <c r="K62" s="4"/>
    </row>
    <row r="63" customFormat="false" ht="15" hidden="false" customHeight="false" outlineLevel="0" collapsed="false">
      <c r="A63" s="18"/>
      <c r="B63" s="4"/>
      <c r="C63" s="4"/>
      <c r="D63" s="4"/>
      <c r="E63" s="4"/>
      <c r="F63" s="4"/>
      <c r="G63" s="4"/>
      <c r="H63" s="4"/>
      <c r="I63" s="4"/>
      <c r="J63" s="18" t="str">
        <f aca="false">IF(OR(A63="",I63=""),"",A63+I63)</f>
        <v/>
      </c>
      <c r="K63" s="4"/>
    </row>
  </sheetData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6" min="3" style="0" width="10"/>
    <col collapsed="false" customWidth="true" hidden="false" outlineLevel="0" max="7" min="7" style="0" width="18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9"/>
    <col collapsed="false" customWidth="true" hidden="false" outlineLevel="0" max="11" min="11" style="0" width="10"/>
  </cols>
  <sheetData>
    <row r="1" customFormat="false" ht="19.7" hidden="false" customHeight="false" outlineLevel="0" collapsed="false">
      <c r="A1" s="1" t="s">
        <v>680</v>
      </c>
    </row>
    <row r="2" customFormat="false" ht="15" hidden="false" customHeight="false" outlineLevel="0" collapsed="false">
      <c r="A2" s="2" t="s">
        <v>644</v>
      </c>
    </row>
    <row r="3" customFormat="false" ht="30" hidden="false" customHeight="true" outlineLevel="0" collapsed="false">
      <c r="A3" s="7" t="s">
        <v>36</v>
      </c>
      <c r="B3" s="7" t="s">
        <v>681</v>
      </c>
      <c r="C3" s="7" t="s">
        <v>682</v>
      </c>
      <c r="D3" s="7" t="s">
        <v>683</v>
      </c>
      <c r="E3" s="7" t="s">
        <v>684</v>
      </c>
      <c r="F3" s="7" t="s">
        <v>685</v>
      </c>
      <c r="G3" s="7" t="s">
        <v>686</v>
      </c>
      <c r="H3" s="7" t="s">
        <v>687</v>
      </c>
      <c r="I3" s="7" t="s">
        <v>688</v>
      </c>
      <c r="J3" s="7" t="s">
        <v>689</v>
      </c>
      <c r="K3" s="7" t="s">
        <v>690</v>
      </c>
    </row>
    <row r="4" customFormat="false" ht="15" hidden="false" customHeight="false" outlineLevel="0" collapsed="false">
      <c r="A4" s="42" t="n">
        <v>46336</v>
      </c>
      <c r="B4" s="43" t="s">
        <v>651</v>
      </c>
      <c r="C4" s="43" t="n">
        <v>31</v>
      </c>
      <c r="D4" s="43" t="n">
        <v>19</v>
      </c>
      <c r="E4" s="43" t="n">
        <v>92</v>
      </c>
      <c r="F4" s="43" t="n">
        <v>55</v>
      </c>
      <c r="G4" s="43" t="str">
        <f aca="false">IF(C4="","",IF(AND(C4&gt;26,D4&gt;20),"⚠高溫障礙(S4)",IF(E4&gt;=90,"⚠高濕(S13)","")))</f>
        <v>⚠高濕(S13)</v>
      </c>
      <c r="H4" s="43" t="s">
        <v>691</v>
      </c>
      <c r="I4" s="43" t="n">
        <v>19</v>
      </c>
      <c r="J4" s="45" t="n">
        <f aca="false">IF(I4="","",I4/20)</f>
        <v>0.95</v>
      </c>
      <c r="K4" s="44" t="s">
        <v>653</v>
      </c>
    </row>
    <row r="5" customFormat="false" ht="15" hidden="false" customHeight="false" outlineLevel="0" collapsed="false">
      <c r="A5" s="18"/>
      <c r="B5" s="4"/>
      <c r="C5" s="4"/>
      <c r="D5" s="4"/>
      <c r="E5" s="4"/>
      <c r="F5" s="4"/>
      <c r="G5" s="4" t="str">
        <f aca="false">IF(C5="","",IF(AND(C5&gt;26,D5&gt;20),"⚠高溫障礙(S4)",IF(E5&gt;=90,"⚠高濕(S13)","")))</f>
        <v/>
      </c>
      <c r="H5" s="4"/>
      <c r="I5" s="4"/>
      <c r="J5" s="46" t="str">
        <f aca="false">IF(I5="","",I5/20)</f>
        <v/>
      </c>
      <c r="K5" s="4"/>
    </row>
    <row r="6" customFormat="false" ht="15" hidden="false" customHeight="false" outlineLevel="0" collapsed="false">
      <c r="A6" s="18"/>
      <c r="B6" s="4"/>
      <c r="C6" s="4"/>
      <c r="D6" s="4"/>
      <c r="E6" s="4"/>
      <c r="F6" s="4"/>
      <c r="G6" s="4" t="str">
        <f aca="false">IF(C6="","",IF(AND(C6&gt;26,D6&gt;20),"⚠高溫障礙(S4)",IF(E6&gt;=90,"⚠高濕(S13)","")))</f>
        <v/>
      </c>
      <c r="H6" s="4"/>
      <c r="I6" s="4"/>
      <c r="J6" s="46" t="str">
        <f aca="false">IF(I6="","",I6/20)</f>
        <v/>
      </c>
      <c r="K6" s="4"/>
    </row>
    <row r="7" customFormat="false" ht="15" hidden="false" customHeight="false" outlineLevel="0" collapsed="false">
      <c r="A7" s="18"/>
      <c r="B7" s="4"/>
      <c r="C7" s="4"/>
      <c r="D7" s="4"/>
      <c r="E7" s="4"/>
      <c r="F7" s="4"/>
      <c r="G7" s="4" t="str">
        <f aca="false">IF(C7="","",IF(AND(C7&gt;26,D7&gt;20),"⚠高溫障礙(S4)",IF(E7&gt;=90,"⚠高濕(S13)","")))</f>
        <v/>
      </c>
      <c r="H7" s="4"/>
      <c r="I7" s="4"/>
      <c r="J7" s="46" t="str">
        <f aca="false">IF(I7="","",I7/20)</f>
        <v/>
      </c>
      <c r="K7" s="4"/>
    </row>
    <row r="8" customFormat="false" ht="15" hidden="false" customHeight="false" outlineLevel="0" collapsed="false">
      <c r="A8" s="18"/>
      <c r="B8" s="4"/>
      <c r="C8" s="4"/>
      <c r="D8" s="4"/>
      <c r="E8" s="4"/>
      <c r="F8" s="4"/>
      <c r="G8" s="4" t="str">
        <f aca="false">IF(C8="","",IF(AND(C8&gt;26,D8&gt;20),"⚠高溫障礙(S4)",IF(E8&gt;=90,"⚠高濕(S13)","")))</f>
        <v/>
      </c>
      <c r="H8" s="4"/>
      <c r="I8" s="4"/>
      <c r="J8" s="46" t="str">
        <f aca="false">IF(I8="","",I8/20)</f>
        <v/>
      </c>
      <c r="K8" s="4"/>
    </row>
    <row r="9" customFormat="false" ht="15" hidden="false" customHeight="false" outlineLevel="0" collapsed="false">
      <c r="A9" s="18"/>
      <c r="B9" s="4"/>
      <c r="C9" s="4"/>
      <c r="D9" s="4"/>
      <c r="E9" s="4"/>
      <c r="F9" s="4"/>
      <c r="G9" s="4" t="str">
        <f aca="false">IF(C9="","",IF(AND(C9&gt;26,D9&gt;20),"⚠高溫障礙(S4)",IF(E9&gt;=90,"⚠高濕(S13)","")))</f>
        <v/>
      </c>
      <c r="H9" s="4"/>
      <c r="I9" s="4"/>
      <c r="J9" s="46" t="str">
        <f aca="false">IF(I9="","",I9/20)</f>
        <v/>
      </c>
      <c r="K9" s="4"/>
    </row>
    <row r="10" customFormat="false" ht="15" hidden="false" customHeight="false" outlineLevel="0" collapsed="false">
      <c r="A10" s="18"/>
      <c r="B10" s="4"/>
      <c r="C10" s="4"/>
      <c r="D10" s="4"/>
      <c r="E10" s="4"/>
      <c r="F10" s="4"/>
      <c r="G10" s="4" t="str">
        <f aca="false">IF(C10="","",IF(AND(C10&gt;26,D10&gt;20),"⚠高溫障礙(S4)",IF(E10&gt;=90,"⚠高濕(S13)","")))</f>
        <v/>
      </c>
      <c r="H10" s="4"/>
      <c r="I10" s="4"/>
      <c r="J10" s="46" t="str">
        <f aca="false">IF(I10="","",I10/20)</f>
        <v/>
      </c>
      <c r="K10" s="4"/>
    </row>
    <row r="11" customFormat="false" ht="15" hidden="false" customHeight="false" outlineLevel="0" collapsed="false">
      <c r="A11" s="18"/>
      <c r="B11" s="4"/>
      <c r="C11" s="4"/>
      <c r="D11" s="4"/>
      <c r="E11" s="4"/>
      <c r="F11" s="4"/>
      <c r="G11" s="4" t="str">
        <f aca="false">IF(C11="","",IF(AND(C11&gt;26,D11&gt;20),"⚠高溫障礙(S4)",IF(E11&gt;=90,"⚠高濕(S13)","")))</f>
        <v/>
      </c>
      <c r="H11" s="4"/>
      <c r="I11" s="4"/>
      <c r="J11" s="46" t="str">
        <f aca="false">IF(I11="","",I11/20)</f>
        <v/>
      </c>
      <c r="K11" s="4"/>
    </row>
    <row r="12" customFormat="false" ht="15" hidden="false" customHeight="false" outlineLevel="0" collapsed="false">
      <c r="A12" s="18"/>
      <c r="B12" s="4"/>
      <c r="C12" s="4"/>
      <c r="D12" s="4"/>
      <c r="E12" s="4"/>
      <c r="F12" s="4"/>
      <c r="G12" s="4" t="str">
        <f aca="false">IF(C12="","",IF(AND(C12&gt;26,D12&gt;20),"⚠高溫障礙(S4)",IF(E12&gt;=90,"⚠高濕(S13)","")))</f>
        <v/>
      </c>
      <c r="H12" s="4"/>
      <c r="I12" s="4"/>
      <c r="J12" s="46" t="str">
        <f aca="false">IF(I12="","",I12/20)</f>
        <v/>
      </c>
      <c r="K12" s="4"/>
    </row>
    <row r="13" customFormat="false" ht="15" hidden="false" customHeight="false" outlineLevel="0" collapsed="false">
      <c r="A13" s="18"/>
      <c r="B13" s="4"/>
      <c r="C13" s="4"/>
      <c r="D13" s="4"/>
      <c r="E13" s="4"/>
      <c r="F13" s="4"/>
      <c r="G13" s="4" t="str">
        <f aca="false">IF(C13="","",IF(AND(C13&gt;26,D13&gt;20),"⚠高溫障礙(S4)",IF(E13&gt;=90,"⚠高濕(S13)","")))</f>
        <v/>
      </c>
      <c r="H13" s="4"/>
      <c r="I13" s="4"/>
      <c r="J13" s="46" t="str">
        <f aca="false">IF(I13="","",I13/20)</f>
        <v/>
      </c>
      <c r="K13" s="4"/>
    </row>
    <row r="14" customFormat="false" ht="15" hidden="false" customHeight="false" outlineLevel="0" collapsed="false">
      <c r="A14" s="18"/>
      <c r="B14" s="4"/>
      <c r="C14" s="4"/>
      <c r="D14" s="4"/>
      <c r="E14" s="4"/>
      <c r="F14" s="4"/>
      <c r="G14" s="4" t="str">
        <f aca="false">IF(C14="","",IF(AND(C14&gt;26,D14&gt;20),"⚠高溫障礙(S4)",IF(E14&gt;=90,"⚠高濕(S13)","")))</f>
        <v/>
      </c>
      <c r="H14" s="4"/>
      <c r="I14" s="4"/>
      <c r="J14" s="46" t="str">
        <f aca="false">IF(I14="","",I14/20)</f>
        <v/>
      </c>
      <c r="K14" s="4"/>
    </row>
    <row r="15" customFormat="false" ht="15" hidden="false" customHeight="false" outlineLevel="0" collapsed="false">
      <c r="A15" s="18"/>
      <c r="B15" s="4"/>
      <c r="C15" s="4"/>
      <c r="D15" s="4"/>
      <c r="E15" s="4"/>
      <c r="F15" s="4"/>
      <c r="G15" s="4" t="str">
        <f aca="false">IF(C15="","",IF(AND(C15&gt;26,D15&gt;20),"⚠高溫障礙(S4)",IF(E15&gt;=90,"⚠高濕(S13)","")))</f>
        <v/>
      </c>
      <c r="H15" s="4"/>
      <c r="I15" s="4"/>
      <c r="J15" s="46" t="str">
        <f aca="false">IF(I15="","",I15/20)</f>
        <v/>
      </c>
      <c r="K15" s="4"/>
    </row>
    <row r="16" customFormat="false" ht="15" hidden="false" customHeight="false" outlineLevel="0" collapsed="false">
      <c r="A16" s="18"/>
      <c r="B16" s="4"/>
      <c r="C16" s="4"/>
      <c r="D16" s="4"/>
      <c r="E16" s="4"/>
      <c r="F16" s="4"/>
      <c r="G16" s="4" t="str">
        <f aca="false">IF(C16="","",IF(AND(C16&gt;26,D16&gt;20),"⚠高溫障礙(S4)",IF(E16&gt;=90,"⚠高濕(S13)","")))</f>
        <v/>
      </c>
      <c r="H16" s="4"/>
      <c r="I16" s="4"/>
      <c r="J16" s="46" t="str">
        <f aca="false">IF(I16="","",I16/20)</f>
        <v/>
      </c>
      <c r="K16" s="4"/>
    </row>
    <row r="17" customFormat="false" ht="15" hidden="false" customHeight="false" outlineLevel="0" collapsed="false">
      <c r="A17" s="18"/>
      <c r="B17" s="4"/>
      <c r="C17" s="4"/>
      <c r="D17" s="4"/>
      <c r="E17" s="4"/>
      <c r="F17" s="4"/>
      <c r="G17" s="4" t="str">
        <f aca="false">IF(C17="","",IF(AND(C17&gt;26,D17&gt;20),"⚠高溫障礙(S4)",IF(E17&gt;=90,"⚠高濕(S13)","")))</f>
        <v/>
      </c>
      <c r="H17" s="4"/>
      <c r="I17" s="4"/>
      <c r="J17" s="46" t="str">
        <f aca="false">IF(I17="","",I17/20)</f>
        <v/>
      </c>
      <c r="K17" s="4"/>
    </row>
    <row r="18" customFormat="false" ht="15" hidden="false" customHeight="false" outlineLevel="0" collapsed="false">
      <c r="A18" s="18"/>
      <c r="B18" s="4"/>
      <c r="C18" s="4"/>
      <c r="D18" s="4"/>
      <c r="E18" s="4"/>
      <c r="F18" s="4"/>
      <c r="G18" s="4" t="str">
        <f aca="false">IF(C18="","",IF(AND(C18&gt;26,D18&gt;20),"⚠高溫障礙(S4)",IF(E18&gt;=90,"⚠高濕(S13)","")))</f>
        <v/>
      </c>
      <c r="H18" s="4"/>
      <c r="I18" s="4"/>
      <c r="J18" s="46" t="str">
        <f aca="false">IF(I18="","",I18/20)</f>
        <v/>
      </c>
      <c r="K18" s="4"/>
    </row>
    <row r="19" customFormat="false" ht="15" hidden="false" customHeight="false" outlineLevel="0" collapsed="false">
      <c r="A19" s="18"/>
      <c r="B19" s="4"/>
      <c r="C19" s="4"/>
      <c r="D19" s="4"/>
      <c r="E19" s="4"/>
      <c r="F19" s="4"/>
      <c r="G19" s="4" t="str">
        <f aca="false">IF(C19="","",IF(AND(C19&gt;26,D19&gt;20),"⚠高溫障礙(S4)",IF(E19&gt;=90,"⚠高濕(S13)","")))</f>
        <v/>
      </c>
      <c r="H19" s="4"/>
      <c r="I19" s="4"/>
      <c r="J19" s="46" t="str">
        <f aca="false">IF(I19="","",I19/20)</f>
        <v/>
      </c>
      <c r="K19" s="4"/>
    </row>
    <row r="20" customFormat="false" ht="15" hidden="false" customHeight="false" outlineLevel="0" collapsed="false">
      <c r="A20" s="18"/>
      <c r="B20" s="4"/>
      <c r="C20" s="4"/>
      <c r="D20" s="4"/>
      <c r="E20" s="4"/>
      <c r="F20" s="4"/>
      <c r="G20" s="4" t="str">
        <f aca="false">IF(C20="","",IF(AND(C20&gt;26,D20&gt;20),"⚠高溫障礙(S4)",IF(E20&gt;=90,"⚠高濕(S13)","")))</f>
        <v/>
      </c>
      <c r="H20" s="4"/>
      <c r="I20" s="4"/>
      <c r="J20" s="46" t="str">
        <f aca="false">IF(I20="","",I20/20)</f>
        <v/>
      </c>
      <c r="K20" s="4"/>
    </row>
    <row r="21" customFormat="false" ht="15" hidden="false" customHeight="false" outlineLevel="0" collapsed="false">
      <c r="A21" s="18"/>
      <c r="B21" s="4"/>
      <c r="C21" s="4"/>
      <c r="D21" s="4"/>
      <c r="E21" s="4"/>
      <c r="F21" s="4"/>
      <c r="G21" s="4" t="str">
        <f aca="false">IF(C21="","",IF(AND(C21&gt;26,D21&gt;20),"⚠高溫障礙(S4)",IF(E21&gt;=90,"⚠高濕(S13)","")))</f>
        <v/>
      </c>
      <c r="H21" s="4"/>
      <c r="I21" s="4"/>
      <c r="J21" s="46" t="str">
        <f aca="false">IF(I21="","",I21/20)</f>
        <v/>
      </c>
      <c r="K21" s="4"/>
    </row>
    <row r="22" customFormat="false" ht="15" hidden="false" customHeight="false" outlineLevel="0" collapsed="false">
      <c r="A22" s="18"/>
      <c r="B22" s="4"/>
      <c r="C22" s="4"/>
      <c r="D22" s="4"/>
      <c r="E22" s="4"/>
      <c r="F22" s="4"/>
      <c r="G22" s="4" t="str">
        <f aca="false">IF(C22="","",IF(AND(C22&gt;26,D22&gt;20),"⚠高溫障礙(S4)",IF(E22&gt;=90,"⚠高濕(S13)","")))</f>
        <v/>
      </c>
      <c r="H22" s="4"/>
      <c r="I22" s="4"/>
      <c r="J22" s="46" t="str">
        <f aca="false">IF(I22="","",I22/20)</f>
        <v/>
      </c>
      <c r="K22" s="4"/>
    </row>
    <row r="23" customFormat="false" ht="15" hidden="false" customHeight="false" outlineLevel="0" collapsed="false">
      <c r="A23" s="18"/>
      <c r="B23" s="4"/>
      <c r="C23" s="4"/>
      <c r="D23" s="4"/>
      <c r="E23" s="4"/>
      <c r="F23" s="4"/>
      <c r="G23" s="4" t="str">
        <f aca="false">IF(C23="","",IF(AND(C23&gt;26,D23&gt;20),"⚠高溫障礙(S4)",IF(E23&gt;=90,"⚠高濕(S13)","")))</f>
        <v/>
      </c>
      <c r="H23" s="4"/>
      <c r="I23" s="4"/>
      <c r="J23" s="46" t="str">
        <f aca="false">IF(I23="","",I23/20)</f>
        <v/>
      </c>
      <c r="K23" s="4"/>
    </row>
    <row r="24" customFormat="false" ht="15" hidden="false" customHeight="false" outlineLevel="0" collapsed="false">
      <c r="A24" s="18"/>
      <c r="B24" s="4"/>
      <c r="C24" s="4"/>
      <c r="D24" s="4"/>
      <c r="E24" s="4"/>
      <c r="F24" s="4"/>
      <c r="G24" s="4" t="str">
        <f aca="false">IF(C24="","",IF(AND(C24&gt;26,D24&gt;20),"⚠高溫障礙(S4)",IF(E24&gt;=90,"⚠高濕(S13)","")))</f>
        <v/>
      </c>
      <c r="H24" s="4"/>
      <c r="I24" s="4"/>
      <c r="J24" s="46" t="str">
        <f aca="false">IF(I24="","",I24/20)</f>
        <v/>
      </c>
      <c r="K24" s="4"/>
    </row>
    <row r="25" customFormat="false" ht="15" hidden="false" customHeight="false" outlineLevel="0" collapsed="false">
      <c r="A25" s="18"/>
      <c r="B25" s="4"/>
      <c r="C25" s="4"/>
      <c r="D25" s="4"/>
      <c r="E25" s="4"/>
      <c r="F25" s="4"/>
      <c r="G25" s="4" t="str">
        <f aca="false">IF(C25="","",IF(AND(C25&gt;26,D25&gt;20),"⚠高溫障礙(S4)",IF(E25&gt;=90,"⚠高濕(S13)","")))</f>
        <v/>
      </c>
      <c r="H25" s="4"/>
      <c r="I25" s="4"/>
      <c r="J25" s="46" t="str">
        <f aca="false">IF(I25="","",I25/20)</f>
        <v/>
      </c>
      <c r="K25" s="4"/>
    </row>
    <row r="26" customFormat="false" ht="15" hidden="false" customHeight="false" outlineLevel="0" collapsed="false">
      <c r="A26" s="18"/>
      <c r="B26" s="4"/>
      <c r="C26" s="4"/>
      <c r="D26" s="4"/>
      <c r="E26" s="4"/>
      <c r="F26" s="4"/>
      <c r="G26" s="4" t="str">
        <f aca="false">IF(C26="","",IF(AND(C26&gt;26,D26&gt;20),"⚠高溫障礙(S4)",IF(E26&gt;=90,"⚠高濕(S13)","")))</f>
        <v/>
      </c>
      <c r="H26" s="4"/>
      <c r="I26" s="4"/>
      <c r="J26" s="46" t="str">
        <f aca="false">IF(I26="","",I26/20)</f>
        <v/>
      </c>
      <c r="K26" s="4"/>
    </row>
    <row r="27" customFormat="false" ht="15" hidden="false" customHeight="false" outlineLevel="0" collapsed="false">
      <c r="A27" s="18"/>
      <c r="B27" s="4"/>
      <c r="C27" s="4"/>
      <c r="D27" s="4"/>
      <c r="E27" s="4"/>
      <c r="F27" s="4"/>
      <c r="G27" s="4" t="str">
        <f aca="false">IF(C27="","",IF(AND(C27&gt;26,D27&gt;20),"⚠高溫障礙(S4)",IF(E27&gt;=90,"⚠高濕(S13)","")))</f>
        <v/>
      </c>
      <c r="H27" s="4"/>
      <c r="I27" s="4"/>
      <c r="J27" s="46" t="str">
        <f aca="false">IF(I27="","",I27/20)</f>
        <v/>
      </c>
      <c r="K27" s="4"/>
    </row>
    <row r="28" customFormat="false" ht="15" hidden="false" customHeight="false" outlineLevel="0" collapsed="false">
      <c r="A28" s="18"/>
      <c r="B28" s="4"/>
      <c r="C28" s="4"/>
      <c r="D28" s="4"/>
      <c r="E28" s="4"/>
      <c r="F28" s="4"/>
      <c r="G28" s="4" t="str">
        <f aca="false">IF(C28="","",IF(AND(C28&gt;26,D28&gt;20),"⚠高溫障礙(S4)",IF(E28&gt;=90,"⚠高濕(S13)","")))</f>
        <v/>
      </c>
      <c r="H28" s="4"/>
      <c r="I28" s="4"/>
      <c r="J28" s="46" t="str">
        <f aca="false">IF(I28="","",I28/20)</f>
        <v/>
      </c>
      <c r="K28" s="4"/>
    </row>
    <row r="29" customFormat="false" ht="15" hidden="false" customHeight="false" outlineLevel="0" collapsed="false">
      <c r="A29" s="18"/>
      <c r="B29" s="4"/>
      <c r="C29" s="4"/>
      <c r="D29" s="4"/>
      <c r="E29" s="4"/>
      <c r="F29" s="4"/>
      <c r="G29" s="4" t="str">
        <f aca="false">IF(C29="","",IF(AND(C29&gt;26,D29&gt;20),"⚠高溫障礙(S4)",IF(E29&gt;=90,"⚠高濕(S13)","")))</f>
        <v/>
      </c>
      <c r="H29" s="4"/>
      <c r="I29" s="4"/>
      <c r="J29" s="46" t="str">
        <f aca="false">IF(I29="","",I29/20)</f>
        <v/>
      </c>
      <c r="K29" s="4"/>
    </row>
    <row r="30" customFormat="false" ht="15" hidden="false" customHeight="false" outlineLevel="0" collapsed="false">
      <c r="A30" s="18"/>
      <c r="B30" s="4"/>
      <c r="C30" s="4"/>
      <c r="D30" s="4"/>
      <c r="E30" s="4"/>
      <c r="F30" s="4"/>
      <c r="G30" s="4" t="str">
        <f aca="false">IF(C30="","",IF(AND(C30&gt;26,D30&gt;20),"⚠高溫障礙(S4)",IF(E30&gt;=90,"⚠高濕(S13)","")))</f>
        <v/>
      </c>
      <c r="H30" s="4"/>
      <c r="I30" s="4"/>
      <c r="J30" s="46" t="str">
        <f aca="false">IF(I30="","",I30/20)</f>
        <v/>
      </c>
      <c r="K30" s="4"/>
    </row>
    <row r="31" customFormat="false" ht="15" hidden="false" customHeight="false" outlineLevel="0" collapsed="false">
      <c r="A31" s="18"/>
      <c r="B31" s="4"/>
      <c r="C31" s="4"/>
      <c r="D31" s="4"/>
      <c r="E31" s="4"/>
      <c r="F31" s="4"/>
      <c r="G31" s="4" t="str">
        <f aca="false">IF(C31="","",IF(AND(C31&gt;26,D31&gt;20),"⚠高溫障礙(S4)",IF(E31&gt;=90,"⚠高濕(S13)","")))</f>
        <v/>
      </c>
      <c r="H31" s="4"/>
      <c r="I31" s="4"/>
      <c r="J31" s="46" t="str">
        <f aca="false">IF(I31="","",I31/20)</f>
        <v/>
      </c>
      <c r="K31" s="4"/>
    </row>
    <row r="32" customFormat="false" ht="15" hidden="false" customHeight="false" outlineLevel="0" collapsed="false">
      <c r="A32" s="18"/>
      <c r="B32" s="4"/>
      <c r="C32" s="4"/>
      <c r="D32" s="4"/>
      <c r="E32" s="4"/>
      <c r="F32" s="4"/>
      <c r="G32" s="4" t="str">
        <f aca="false">IF(C32="","",IF(AND(C32&gt;26,D32&gt;20),"⚠高溫障礙(S4)",IF(E32&gt;=90,"⚠高濕(S13)","")))</f>
        <v/>
      </c>
      <c r="H32" s="4"/>
      <c r="I32" s="4"/>
      <c r="J32" s="46" t="str">
        <f aca="false">IF(I32="","",I32/20)</f>
        <v/>
      </c>
      <c r="K32" s="4"/>
    </row>
    <row r="33" customFormat="false" ht="15" hidden="false" customHeight="false" outlineLevel="0" collapsed="false">
      <c r="A33" s="18"/>
      <c r="B33" s="4"/>
      <c r="C33" s="4"/>
      <c r="D33" s="4"/>
      <c r="E33" s="4"/>
      <c r="F33" s="4"/>
      <c r="G33" s="4" t="str">
        <f aca="false">IF(C33="","",IF(AND(C33&gt;26,D33&gt;20),"⚠高溫障礙(S4)",IF(E33&gt;=90,"⚠高濕(S13)","")))</f>
        <v/>
      </c>
      <c r="H33" s="4"/>
      <c r="I33" s="4"/>
      <c r="J33" s="46" t="str">
        <f aca="false">IF(I33="","",I33/20)</f>
        <v/>
      </c>
      <c r="K33" s="4"/>
    </row>
    <row r="34" customFormat="false" ht="15" hidden="false" customHeight="false" outlineLevel="0" collapsed="false">
      <c r="A34" s="18"/>
      <c r="B34" s="4"/>
      <c r="C34" s="4"/>
      <c r="D34" s="4"/>
      <c r="E34" s="4"/>
      <c r="F34" s="4"/>
      <c r="G34" s="4" t="str">
        <f aca="false">IF(C34="","",IF(AND(C34&gt;26,D34&gt;20),"⚠高溫障礙(S4)",IF(E34&gt;=90,"⚠高濕(S13)","")))</f>
        <v/>
      </c>
      <c r="H34" s="4"/>
      <c r="I34" s="4"/>
      <c r="J34" s="46" t="str">
        <f aca="false">IF(I34="","",I34/20)</f>
        <v/>
      </c>
      <c r="K34" s="4"/>
    </row>
    <row r="35" customFormat="false" ht="15" hidden="false" customHeight="false" outlineLevel="0" collapsed="false">
      <c r="A35" s="18"/>
      <c r="B35" s="4"/>
      <c r="C35" s="4"/>
      <c r="D35" s="4"/>
      <c r="E35" s="4"/>
      <c r="F35" s="4"/>
      <c r="G35" s="4" t="str">
        <f aca="false">IF(C35="","",IF(AND(C35&gt;26,D35&gt;20),"⚠高溫障礙(S4)",IF(E35&gt;=90,"⚠高濕(S13)","")))</f>
        <v/>
      </c>
      <c r="H35" s="4"/>
      <c r="I35" s="4"/>
      <c r="J35" s="46" t="str">
        <f aca="false">IF(I35="","",I35/20)</f>
        <v/>
      </c>
      <c r="K35" s="4"/>
    </row>
    <row r="36" customFormat="false" ht="15" hidden="false" customHeight="false" outlineLevel="0" collapsed="false">
      <c r="A36" s="18"/>
      <c r="B36" s="4"/>
      <c r="C36" s="4"/>
      <c r="D36" s="4"/>
      <c r="E36" s="4"/>
      <c r="F36" s="4"/>
      <c r="G36" s="4" t="str">
        <f aca="false">IF(C36="","",IF(AND(C36&gt;26,D36&gt;20),"⚠高溫障礙(S4)",IF(E36&gt;=90,"⚠高濕(S13)","")))</f>
        <v/>
      </c>
      <c r="H36" s="4"/>
      <c r="I36" s="4"/>
      <c r="J36" s="46" t="str">
        <f aca="false">IF(I36="","",I36/20)</f>
        <v/>
      </c>
      <c r="K36" s="4"/>
    </row>
    <row r="37" customFormat="false" ht="15" hidden="false" customHeight="false" outlineLevel="0" collapsed="false">
      <c r="A37" s="18"/>
      <c r="B37" s="4"/>
      <c r="C37" s="4"/>
      <c r="D37" s="4"/>
      <c r="E37" s="4"/>
      <c r="F37" s="4"/>
      <c r="G37" s="4" t="str">
        <f aca="false">IF(C37="","",IF(AND(C37&gt;26,D37&gt;20),"⚠高溫障礙(S4)",IF(E37&gt;=90,"⚠高濕(S13)","")))</f>
        <v/>
      </c>
      <c r="H37" s="4"/>
      <c r="I37" s="4"/>
      <c r="J37" s="46" t="str">
        <f aca="false">IF(I37="","",I37/20)</f>
        <v/>
      </c>
      <c r="K37" s="4"/>
    </row>
    <row r="38" customFormat="false" ht="15" hidden="false" customHeight="false" outlineLevel="0" collapsed="false">
      <c r="A38" s="18"/>
      <c r="B38" s="4"/>
      <c r="C38" s="4"/>
      <c r="D38" s="4"/>
      <c r="E38" s="4"/>
      <c r="F38" s="4"/>
      <c r="G38" s="4" t="str">
        <f aca="false">IF(C38="","",IF(AND(C38&gt;26,D38&gt;20),"⚠高溫障礙(S4)",IF(E38&gt;=90,"⚠高濕(S13)","")))</f>
        <v/>
      </c>
      <c r="H38" s="4"/>
      <c r="I38" s="4"/>
      <c r="J38" s="46" t="str">
        <f aca="false">IF(I38="","",I38/20)</f>
        <v/>
      </c>
      <c r="K38" s="4"/>
    </row>
    <row r="39" customFormat="false" ht="15" hidden="false" customHeight="false" outlineLevel="0" collapsed="false">
      <c r="A39" s="18"/>
      <c r="B39" s="4"/>
      <c r="C39" s="4"/>
      <c r="D39" s="4"/>
      <c r="E39" s="4"/>
      <c r="F39" s="4"/>
      <c r="G39" s="4" t="str">
        <f aca="false">IF(C39="","",IF(AND(C39&gt;26,D39&gt;20),"⚠高溫障礙(S4)",IF(E39&gt;=90,"⚠高濕(S13)","")))</f>
        <v/>
      </c>
      <c r="H39" s="4"/>
      <c r="I39" s="4"/>
      <c r="J39" s="46" t="str">
        <f aca="false">IF(I39="","",I39/20)</f>
        <v/>
      </c>
      <c r="K39" s="4"/>
    </row>
    <row r="40" customFormat="false" ht="15" hidden="false" customHeight="false" outlineLevel="0" collapsed="false">
      <c r="A40" s="18"/>
      <c r="B40" s="4"/>
      <c r="C40" s="4"/>
      <c r="D40" s="4"/>
      <c r="E40" s="4"/>
      <c r="F40" s="4"/>
      <c r="G40" s="4" t="str">
        <f aca="false">IF(C40="","",IF(AND(C40&gt;26,D40&gt;20),"⚠高溫障礙(S4)",IF(E40&gt;=90,"⚠高濕(S13)","")))</f>
        <v/>
      </c>
      <c r="H40" s="4"/>
      <c r="I40" s="4"/>
      <c r="J40" s="46" t="str">
        <f aca="false">IF(I40="","",I40/20)</f>
        <v/>
      </c>
      <c r="K40" s="4"/>
    </row>
    <row r="41" customFormat="false" ht="15" hidden="false" customHeight="false" outlineLevel="0" collapsed="false">
      <c r="A41" s="18"/>
      <c r="B41" s="4"/>
      <c r="C41" s="4"/>
      <c r="D41" s="4"/>
      <c r="E41" s="4"/>
      <c r="F41" s="4"/>
      <c r="G41" s="4" t="str">
        <f aca="false">IF(C41="","",IF(AND(C41&gt;26,D41&gt;20),"⚠高溫障礙(S4)",IF(E41&gt;=90,"⚠高濕(S13)","")))</f>
        <v/>
      </c>
      <c r="H41" s="4"/>
      <c r="I41" s="4"/>
      <c r="J41" s="46" t="str">
        <f aca="false">IF(I41="","",I41/20)</f>
        <v/>
      </c>
      <c r="K41" s="4"/>
    </row>
    <row r="42" customFormat="false" ht="15" hidden="false" customHeight="false" outlineLevel="0" collapsed="false">
      <c r="A42" s="18"/>
      <c r="B42" s="4"/>
      <c r="C42" s="4"/>
      <c r="D42" s="4"/>
      <c r="E42" s="4"/>
      <c r="F42" s="4"/>
      <c r="G42" s="4" t="str">
        <f aca="false">IF(C42="","",IF(AND(C42&gt;26,D42&gt;20),"⚠高溫障礙(S4)",IF(E42&gt;=90,"⚠高濕(S13)","")))</f>
        <v/>
      </c>
      <c r="H42" s="4"/>
      <c r="I42" s="4"/>
      <c r="J42" s="46" t="str">
        <f aca="false">IF(I42="","",I42/20)</f>
        <v/>
      </c>
      <c r="K42" s="4"/>
    </row>
    <row r="43" customFormat="false" ht="15" hidden="false" customHeight="false" outlineLevel="0" collapsed="false">
      <c r="A43" s="18"/>
      <c r="B43" s="4"/>
      <c r="C43" s="4"/>
      <c r="D43" s="4"/>
      <c r="E43" s="4"/>
      <c r="F43" s="4"/>
      <c r="G43" s="4" t="str">
        <f aca="false">IF(C43="","",IF(AND(C43&gt;26,D43&gt;20),"⚠高溫障礙(S4)",IF(E43&gt;=90,"⚠高濕(S13)","")))</f>
        <v/>
      </c>
      <c r="H43" s="4"/>
      <c r="I43" s="4"/>
      <c r="J43" s="46" t="str">
        <f aca="false">IF(I43="","",I43/20)</f>
        <v/>
      </c>
      <c r="K43" s="4"/>
    </row>
    <row r="44" customFormat="false" ht="15" hidden="false" customHeight="false" outlineLevel="0" collapsed="false">
      <c r="A44" s="18"/>
      <c r="B44" s="4"/>
      <c r="C44" s="4"/>
      <c r="D44" s="4"/>
      <c r="E44" s="4"/>
      <c r="F44" s="4"/>
      <c r="G44" s="4" t="str">
        <f aca="false">IF(C44="","",IF(AND(C44&gt;26,D44&gt;20),"⚠高溫障礙(S4)",IF(E44&gt;=90,"⚠高濕(S13)","")))</f>
        <v/>
      </c>
      <c r="H44" s="4"/>
      <c r="I44" s="4"/>
      <c r="J44" s="46" t="str">
        <f aca="false">IF(I44="","",I44/20)</f>
        <v/>
      </c>
      <c r="K44" s="4"/>
    </row>
    <row r="45" customFormat="false" ht="15" hidden="false" customHeight="false" outlineLevel="0" collapsed="false">
      <c r="A45" s="18"/>
      <c r="B45" s="4"/>
      <c r="C45" s="4"/>
      <c r="D45" s="4"/>
      <c r="E45" s="4"/>
      <c r="F45" s="4"/>
      <c r="G45" s="4" t="str">
        <f aca="false">IF(C45="","",IF(AND(C45&gt;26,D45&gt;20),"⚠高溫障礙(S4)",IF(E45&gt;=90,"⚠高濕(S13)","")))</f>
        <v/>
      </c>
      <c r="H45" s="4"/>
      <c r="I45" s="4"/>
      <c r="J45" s="46" t="str">
        <f aca="false">IF(I45="","",I45/20)</f>
        <v/>
      </c>
      <c r="K45" s="4"/>
    </row>
    <row r="46" customFormat="false" ht="15" hidden="false" customHeight="false" outlineLevel="0" collapsed="false">
      <c r="A46" s="18"/>
      <c r="B46" s="4"/>
      <c r="C46" s="4"/>
      <c r="D46" s="4"/>
      <c r="E46" s="4"/>
      <c r="F46" s="4"/>
      <c r="G46" s="4" t="str">
        <f aca="false">IF(C46="","",IF(AND(C46&gt;26,D46&gt;20),"⚠高溫障礙(S4)",IF(E46&gt;=90,"⚠高濕(S13)","")))</f>
        <v/>
      </c>
      <c r="H46" s="4"/>
      <c r="I46" s="4"/>
      <c r="J46" s="46" t="str">
        <f aca="false">IF(I46="","",I46/20)</f>
        <v/>
      </c>
      <c r="K46" s="4"/>
    </row>
    <row r="47" customFormat="false" ht="15" hidden="false" customHeight="false" outlineLevel="0" collapsed="false">
      <c r="A47" s="18"/>
      <c r="B47" s="4"/>
      <c r="C47" s="4"/>
      <c r="D47" s="4"/>
      <c r="E47" s="4"/>
      <c r="F47" s="4"/>
      <c r="G47" s="4" t="str">
        <f aca="false">IF(C47="","",IF(AND(C47&gt;26,D47&gt;20),"⚠高溫障礙(S4)",IF(E47&gt;=90,"⚠高濕(S13)","")))</f>
        <v/>
      </c>
      <c r="H47" s="4"/>
      <c r="I47" s="4"/>
      <c r="J47" s="46" t="str">
        <f aca="false">IF(I47="","",I47/20)</f>
        <v/>
      </c>
      <c r="K47" s="4"/>
    </row>
    <row r="48" customFormat="false" ht="15" hidden="false" customHeight="false" outlineLevel="0" collapsed="false">
      <c r="A48" s="18"/>
      <c r="B48" s="4"/>
      <c r="C48" s="4"/>
      <c r="D48" s="4"/>
      <c r="E48" s="4"/>
      <c r="F48" s="4"/>
      <c r="G48" s="4" t="str">
        <f aca="false">IF(C48="","",IF(AND(C48&gt;26,D48&gt;20),"⚠高溫障礙(S4)",IF(E48&gt;=90,"⚠高濕(S13)","")))</f>
        <v/>
      </c>
      <c r="H48" s="4"/>
      <c r="I48" s="4"/>
      <c r="J48" s="46" t="str">
        <f aca="false">IF(I48="","",I48/20)</f>
        <v/>
      </c>
      <c r="K48" s="4"/>
    </row>
    <row r="49" customFormat="false" ht="15" hidden="false" customHeight="false" outlineLevel="0" collapsed="false">
      <c r="A49" s="18"/>
      <c r="B49" s="4"/>
      <c r="C49" s="4"/>
      <c r="D49" s="4"/>
      <c r="E49" s="4"/>
      <c r="F49" s="4"/>
      <c r="G49" s="4" t="str">
        <f aca="false">IF(C49="","",IF(AND(C49&gt;26,D49&gt;20),"⚠高溫障礙(S4)",IF(E49&gt;=90,"⚠高濕(S13)","")))</f>
        <v/>
      </c>
      <c r="H49" s="4"/>
      <c r="I49" s="4"/>
      <c r="J49" s="46" t="str">
        <f aca="false">IF(I49="","",I49/20)</f>
        <v/>
      </c>
      <c r="K49" s="4"/>
    </row>
    <row r="50" customFormat="false" ht="15" hidden="false" customHeight="false" outlineLevel="0" collapsed="false">
      <c r="A50" s="18"/>
      <c r="B50" s="4"/>
      <c r="C50" s="4"/>
      <c r="D50" s="4"/>
      <c r="E50" s="4"/>
      <c r="F50" s="4"/>
      <c r="G50" s="4" t="str">
        <f aca="false">IF(C50="","",IF(AND(C50&gt;26,D50&gt;20),"⚠高溫障礙(S4)",IF(E50&gt;=90,"⚠高濕(S13)","")))</f>
        <v/>
      </c>
      <c r="H50" s="4"/>
      <c r="I50" s="4"/>
      <c r="J50" s="46" t="str">
        <f aca="false">IF(I50="","",I50/20)</f>
        <v/>
      </c>
      <c r="K50" s="4"/>
    </row>
    <row r="51" customFormat="false" ht="15" hidden="false" customHeight="false" outlineLevel="0" collapsed="false">
      <c r="A51" s="18"/>
      <c r="B51" s="4"/>
      <c r="C51" s="4"/>
      <c r="D51" s="4"/>
      <c r="E51" s="4"/>
      <c r="F51" s="4"/>
      <c r="G51" s="4" t="str">
        <f aca="false">IF(C51="","",IF(AND(C51&gt;26,D51&gt;20),"⚠高溫障礙(S4)",IF(E51&gt;=90,"⚠高濕(S13)","")))</f>
        <v/>
      </c>
      <c r="H51" s="4"/>
      <c r="I51" s="4"/>
      <c r="J51" s="46" t="str">
        <f aca="false">IF(I51="","",I51/20)</f>
        <v/>
      </c>
      <c r="K51" s="4"/>
    </row>
    <row r="52" customFormat="false" ht="15" hidden="false" customHeight="false" outlineLevel="0" collapsed="false">
      <c r="A52" s="18"/>
      <c r="B52" s="4"/>
      <c r="C52" s="4"/>
      <c r="D52" s="4"/>
      <c r="E52" s="4"/>
      <c r="F52" s="4"/>
      <c r="G52" s="4" t="str">
        <f aca="false">IF(C52="","",IF(AND(C52&gt;26,D52&gt;20),"⚠高溫障礙(S4)",IF(E52&gt;=90,"⚠高濕(S13)","")))</f>
        <v/>
      </c>
      <c r="H52" s="4"/>
      <c r="I52" s="4"/>
      <c r="J52" s="46" t="str">
        <f aca="false">IF(I52="","",I52/20)</f>
        <v/>
      </c>
      <c r="K52" s="4"/>
    </row>
    <row r="53" customFormat="false" ht="15" hidden="false" customHeight="false" outlineLevel="0" collapsed="false">
      <c r="A53" s="18"/>
      <c r="B53" s="4"/>
      <c r="C53" s="4"/>
      <c r="D53" s="4"/>
      <c r="E53" s="4"/>
      <c r="F53" s="4"/>
      <c r="G53" s="4" t="str">
        <f aca="false">IF(C53="","",IF(AND(C53&gt;26,D53&gt;20),"⚠高溫障礙(S4)",IF(E53&gt;=90,"⚠高濕(S13)","")))</f>
        <v/>
      </c>
      <c r="H53" s="4"/>
      <c r="I53" s="4"/>
      <c r="J53" s="46" t="str">
        <f aca="false">IF(I53="","",I53/20)</f>
        <v/>
      </c>
      <c r="K53" s="4"/>
    </row>
    <row r="54" customFormat="false" ht="15" hidden="false" customHeight="false" outlineLevel="0" collapsed="false">
      <c r="A54" s="18"/>
      <c r="B54" s="4"/>
      <c r="C54" s="4"/>
      <c r="D54" s="4"/>
      <c r="E54" s="4"/>
      <c r="F54" s="4"/>
      <c r="G54" s="4" t="str">
        <f aca="false">IF(C54="","",IF(AND(C54&gt;26,D54&gt;20),"⚠高溫障礙(S4)",IF(E54&gt;=90,"⚠高濕(S13)","")))</f>
        <v/>
      </c>
      <c r="H54" s="4"/>
      <c r="I54" s="4"/>
      <c r="J54" s="46" t="str">
        <f aca="false">IF(I54="","",I54/20)</f>
        <v/>
      </c>
      <c r="K54" s="4"/>
    </row>
    <row r="55" customFormat="false" ht="15" hidden="false" customHeight="false" outlineLevel="0" collapsed="false">
      <c r="A55" s="18"/>
      <c r="B55" s="4"/>
      <c r="C55" s="4"/>
      <c r="D55" s="4"/>
      <c r="E55" s="4"/>
      <c r="F55" s="4"/>
      <c r="G55" s="4" t="str">
        <f aca="false">IF(C55="","",IF(AND(C55&gt;26,D55&gt;20),"⚠高溫障礙(S4)",IF(E55&gt;=90,"⚠高濕(S13)","")))</f>
        <v/>
      </c>
      <c r="H55" s="4"/>
      <c r="I55" s="4"/>
      <c r="J55" s="46" t="str">
        <f aca="false">IF(I55="","",I55/20)</f>
        <v/>
      </c>
      <c r="K55" s="4"/>
    </row>
    <row r="56" customFormat="false" ht="15" hidden="false" customHeight="false" outlineLevel="0" collapsed="false">
      <c r="A56" s="18"/>
      <c r="B56" s="4"/>
      <c r="C56" s="4"/>
      <c r="D56" s="4"/>
      <c r="E56" s="4"/>
      <c r="F56" s="4"/>
      <c r="G56" s="4" t="str">
        <f aca="false">IF(C56="","",IF(AND(C56&gt;26,D56&gt;20),"⚠高溫障礙(S4)",IF(E56&gt;=90,"⚠高濕(S13)","")))</f>
        <v/>
      </c>
      <c r="H56" s="4"/>
      <c r="I56" s="4"/>
      <c r="J56" s="46" t="str">
        <f aca="false">IF(I56="","",I56/20)</f>
        <v/>
      </c>
      <c r="K56" s="4"/>
    </row>
    <row r="57" customFormat="false" ht="15" hidden="false" customHeight="false" outlineLevel="0" collapsed="false">
      <c r="A57" s="18"/>
      <c r="B57" s="4"/>
      <c r="C57" s="4"/>
      <c r="D57" s="4"/>
      <c r="E57" s="4"/>
      <c r="F57" s="4"/>
      <c r="G57" s="4" t="str">
        <f aca="false">IF(C57="","",IF(AND(C57&gt;26,D57&gt;20),"⚠高溫障礙(S4)",IF(E57&gt;=90,"⚠高濕(S13)","")))</f>
        <v/>
      </c>
      <c r="H57" s="4"/>
      <c r="I57" s="4"/>
      <c r="J57" s="46" t="str">
        <f aca="false">IF(I57="","",I57/20)</f>
        <v/>
      </c>
      <c r="K57" s="4"/>
    </row>
    <row r="58" customFormat="false" ht="15" hidden="false" customHeight="false" outlineLevel="0" collapsed="false">
      <c r="A58" s="18"/>
      <c r="B58" s="4"/>
      <c r="C58" s="4"/>
      <c r="D58" s="4"/>
      <c r="E58" s="4"/>
      <c r="F58" s="4"/>
      <c r="G58" s="4" t="str">
        <f aca="false">IF(C58="","",IF(AND(C58&gt;26,D58&gt;20),"⚠高溫障礙(S4)",IF(E58&gt;=90,"⚠高濕(S13)","")))</f>
        <v/>
      </c>
      <c r="H58" s="4"/>
      <c r="I58" s="4"/>
      <c r="J58" s="46" t="str">
        <f aca="false">IF(I58="","",I58/20)</f>
        <v/>
      </c>
      <c r="K58" s="4"/>
    </row>
    <row r="59" customFormat="false" ht="15" hidden="false" customHeight="false" outlineLevel="0" collapsed="false">
      <c r="A59" s="18"/>
      <c r="B59" s="4"/>
      <c r="C59" s="4"/>
      <c r="D59" s="4"/>
      <c r="E59" s="4"/>
      <c r="F59" s="4"/>
      <c r="G59" s="4" t="str">
        <f aca="false">IF(C59="","",IF(AND(C59&gt;26,D59&gt;20),"⚠高溫障礙(S4)",IF(E59&gt;=90,"⚠高濕(S13)","")))</f>
        <v/>
      </c>
      <c r="H59" s="4"/>
      <c r="I59" s="4"/>
      <c r="J59" s="46" t="str">
        <f aca="false">IF(I59="","",I59/20)</f>
        <v/>
      </c>
      <c r="K59" s="4"/>
    </row>
    <row r="60" customFormat="false" ht="15" hidden="false" customHeight="false" outlineLevel="0" collapsed="false">
      <c r="A60" s="18"/>
      <c r="B60" s="4"/>
      <c r="C60" s="4"/>
      <c r="D60" s="4"/>
      <c r="E60" s="4"/>
      <c r="F60" s="4"/>
      <c r="G60" s="4" t="str">
        <f aca="false">IF(C60="","",IF(AND(C60&gt;26,D60&gt;20),"⚠高溫障礙(S4)",IF(E60&gt;=90,"⚠高濕(S13)","")))</f>
        <v/>
      </c>
      <c r="H60" s="4"/>
      <c r="I60" s="4"/>
      <c r="J60" s="46" t="str">
        <f aca="false">IF(I60="","",I60/20)</f>
        <v/>
      </c>
      <c r="K60" s="4"/>
    </row>
    <row r="61" customFormat="false" ht="15" hidden="false" customHeight="false" outlineLevel="0" collapsed="false">
      <c r="A61" s="18"/>
      <c r="B61" s="4"/>
      <c r="C61" s="4"/>
      <c r="D61" s="4"/>
      <c r="E61" s="4"/>
      <c r="F61" s="4"/>
      <c r="G61" s="4" t="str">
        <f aca="false">IF(C61="","",IF(AND(C61&gt;26,D61&gt;20),"⚠高溫障礙(S4)",IF(E61&gt;=90,"⚠高濕(S13)","")))</f>
        <v/>
      </c>
      <c r="H61" s="4"/>
      <c r="I61" s="4"/>
      <c r="J61" s="46" t="str">
        <f aca="false">IF(I61="","",I61/20)</f>
        <v/>
      </c>
      <c r="K61" s="4"/>
    </row>
    <row r="62" customFormat="false" ht="15" hidden="false" customHeight="false" outlineLevel="0" collapsed="false">
      <c r="A62" s="18"/>
      <c r="B62" s="4"/>
      <c r="C62" s="4"/>
      <c r="D62" s="4"/>
      <c r="E62" s="4"/>
      <c r="F62" s="4"/>
      <c r="G62" s="4" t="str">
        <f aca="false">IF(C62="","",IF(AND(C62&gt;26,D62&gt;20),"⚠高溫障礙(S4)",IF(E62&gt;=90,"⚠高濕(S13)","")))</f>
        <v/>
      </c>
      <c r="H62" s="4"/>
      <c r="I62" s="4"/>
      <c r="J62" s="46" t="str">
        <f aca="false">IF(I62="","",I62/20)</f>
        <v/>
      </c>
      <c r="K62" s="4"/>
    </row>
    <row r="63" customFormat="false" ht="15" hidden="false" customHeight="false" outlineLevel="0" collapsed="false">
      <c r="A63" s="18"/>
      <c r="B63" s="4"/>
      <c r="C63" s="4"/>
      <c r="D63" s="4"/>
      <c r="E63" s="4"/>
      <c r="F63" s="4"/>
      <c r="G63" s="4" t="str">
        <f aca="false">IF(C63="","",IF(AND(C63&gt;26,D63&gt;20),"⚠高溫障礙(S4)",IF(E63&gt;=90,"⚠高濕(S13)","")))</f>
        <v/>
      </c>
      <c r="H63" s="4"/>
      <c r="I63" s="4"/>
      <c r="J63" s="46" t="str">
        <f aca="false">IF(I63="","",I63/20)</f>
        <v/>
      </c>
      <c r="K63" s="4"/>
    </row>
  </sheetData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8"/>
    <col collapsed="false" customWidth="true" hidden="false" outlineLevel="0" max="9" min="9" style="0" width="24"/>
  </cols>
  <sheetData>
    <row r="1" customFormat="false" ht="23.85" hidden="false" customHeight="false" outlineLevel="0" collapsed="false">
      <c r="A1" s="1" t="s">
        <v>692</v>
      </c>
    </row>
    <row r="2" customFormat="false" ht="15" hidden="false" customHeight="false" outlineLevel="0" collapsed="false">
      <c r="A2" s="2" t="s">
        <v>644</v>
      </c>
    </row>
    <row r="3" customFormat="false" ht="30" hidden="false" customHeight="true" outlineLevel="0" collapsed="false">
      <c r="A3" s="7" t="s">
        <v>36</v>
      </c>
      <c r="B3" s="7" t="s">
        <v>155</v>
      </c>
      <c r="C3" s="7" t="s">
        <v>693</v>
      </c>
      <c r="D3" s="7" t="s">
        <v>694</v>
      </c>
      <c r="E3" s="7" t="s">
        <v>695</v>
      </c>
      <c r="F3" s="7" t="s">
        <v>696</v>
      </c>
      <c r="G3" s="7" t="s">
        <v>697</v>
      </c>
      <c r="H3" s="7" t="s">
        <v>698</v>
      </c>
      <c r="I3" s="7" t="s">
        <v>650</v>
      </c>
    </row>
    <row r="4" customFormat="false" ht="15" hidden="false" customHeight="false" outlineLevel="0" collapsed="false">
      <c r="A4" s="42" t="n">
        <v>46345</v>
      </c>
      <c r="B4" s="43" t="n">
        <v>5</v>
      </c>
      <c r="C4" s="43" t="n">
        <v>1</v>
      </c>
      <c r="D4" s="43" t="n">
        <v>9.5</v>
      </c>
      <c r="E4" s="43" t="n">
        <v>15</v>
      </c>
      <c r="F4" s="43" t="n">
        <v>1</v>
      </c>
      <c r="G4" s="43" t="n">
        <v>6</v>
      </c>
      <c r="H4" s="43" t="str">
        <f aca="false">IF(OR(D4="",E4=""),"",IF(E4&lt;13,"偏生殖(花距短)",IF(E4&gt;18,"偏營養(花距長)","平衡")))</f>
        <v>平衡</v>
      </c>
      <c r="I4" s="43"/>
    </row>
    <row r="5" customFormat="false" ht="15" hidden="false" customHeight="false" outlineLevel="0" collapsed="false">
      <c r="A5" s="18"/>
      <c r="B5" s="4"/>
      <c r="C5" s="4"/>
      <c r="D5" s="4"/>
      <c r="E5" s="4"/>
      <c r="F5" s="4"/>
      <c r="G5" s="4"/>
      <c r="H5" s="4" t="str">
        <f aca="false">IF(OR(D5="",E5=""),"",IF(E5&lt;13,"偏生殖(花距短)",IF(E5&gt;18,"偏營養(花距長)","平衡")))</f>
        <v/>
      </c>
      <c r="I5" s="4"/>
    </row>
    <row r="6" customFormat="false" ht="15" hidden="false" customHeight="false" outlineLevel="0" collapsed="false">
      <c r="A6" s="18"/>
      <c r="B6" s="4"/>
      <c r="C6" s="4"/>
      <c r="D6" s="4"/>
      <c r="E6" s="4"/>
      <c r="F6" s="4"/>
      <c r="G6" s="4"/>
      <c r="H6" s="4" t="str">
        <f aca="false">IF(OR(D6="",E6=""),"",IF(E6&lt;13,"偏生殖(花距短)",IF(E6&gt;18,"偏營養(花距長)","平衡")))</f>
        <v/>
      </c>
      <c r="I6" s="4"/>
    </row>
    <row r="7" customFormat="false" ht="15" hidden="false" customHeight="false" outlineLevel="0" collapsed="false">
      <c r="A7" s="18"/>
      <c r="B7" s="4"/>
      <c r="C7" s="4"/>
      <c r="D7" s="4"/>
      <c r="E7" s="4"/>
      <c r="F7" s="4"/>
      <c r="G7" s="4"/>
      <c r="H7" s="4" t="str">
        <f aca="false">IF(OR(D7="",E7=""),"",IF(E7&lt;13,"偏生殖(花距短)",IF(E7&gt;18,"偏營養(花距長)","平衡")))</f>
        <v/>
      </c>
      <c r="I7" s="4"/>
    </row>
    <row r="8" customFormat="false" ht="15" hidden="false" customHeight="false" outlineLevel="0" collapsed="false">
      <c r="A8" s="18"/>
      <c r="B8" s="4"/>
      <c r="C8" s="4"/>
      <c r="D8" s="4"/>
      <c r="E8" s="4"/>
      <c r="F8" s="4"/>
      <c r="G8" s="4"/>
      <c r="H8" s="4" t="str">
        <f aca="false">IF(OR(D8="",E8=""),"",IF(E8&lt;13,"偏生殖(花距短)",IF(E8&gt;18,"偏營養(花距長)","平衡")))</f>
        <v/>
      </c>
      <c r="I8" s="4"/>
    </row>
    <row r="9" customFormat="false" ht="15" hidden="false" customHeight="false" outlineLevel="0" collapsed="false">
      <c r="A9" s="18"/>
      <c r="B9" s="4"/>
      <c r="C9" s="4"/>
      <c r="D9" s="4"/>
      <c r="E9" s="4"/>
      <c r="F9" s="4"/>
      <c r="G9" s="4"/>
      <c r="H9" s="4" t="str">
        <f aca="false">IF(OR(D9="",E9=""),"",IF(E9&lt;13,"偏生殖(花距短)",IF(E9&gt;18,"偏營養(花距長)","平衡")))</f>
        <v/>
      </c>
      <c r="I9" s="4"/>
    </row>
    <row r="10" customFormat="false" ht="15" hidden="false" customHeight="false" outlineLevel="0" collapsed="false">
      <c r="A10" s="18"/>
      <c r="B10" s="4"/>
      <c r="C10" s="4"/>
      <c r="D10" s="4"/>
      <c r="E10" s="4"/>
      <c r="F10" s="4"/>
      <c r="G10" s="4"/>
      <c r="H10" s="4" t="str">
        <f aca="false">IF(OR(D10="",E10=""),"",IF(E10&lt;13,"偏生殖(花距短)",IF(E10&gt;18,"偏營養(花距長)","平衡")))</f>
        <v/>
      </c>
      <c r="I10" s="4"/>
    </row>
    <row r="11" customFormat="false" ht="15" hidden="false" customHeight="false" outlineLevel="0" collapsed="false">
      <c r="A11" s="18"/>
      <c r="B11" s="4"/>
      <c r="C11" s="4"/>
      <c r="D11" s="4"/>
      <c r="E11" s="4"/>
      <c r="F11" s="4"/>
      <c r="G11" s="4"/>
      <c r="H11" s="4" t="str">
        <f aca="false">IF(OR(D11="",E11=""),"",IF(E11&lt;13,"偏生殖(花距短)",IF(E11&gt;18,"偏營養(花距長)","平衡")))</f>
        <v/>
      </c>
      <c r="I11" s="4"/>
    </row>
    <row r="12" customFormat="false" ht="15" hidden="false" customHeight="false" outlineLevel="0" collapsed="false">
      <c r="A12" s="18"/>
      <c r="B12" s="4"/>
      <c r="C12" s="4"/>
      <c r="D12" s="4"/>
      <c r="E12" s="4"/>
      <c r="F12" s="4"/>
      <c r="G12" s="4"/>
      <c r="H12" s="4" t="str">
        <f aca="false">IF(OR(D12="",E12=""),"",IF(E12&lt;13,"偏生殖(花距短)",IF(E12&gt;18,"偏營養(花距長)","平衡")))</f>
        <v/>
      </c>
      <c r="I12" s="4"/>
    </row>
    <row r="13" customFormat="false" ht="15" hidden="false" customHeight="false" outlineLevel="0" collapsed="false">
      <c r="A13" s="18"/>
      <c r="B13" s="4"/>
      <c r="C13" s="4"/>
      <c r="D13" s="4"/>
      <c r="E13" s="4"/>
      <c r="F13" s="4"/>
      <c r="G13" s="4"/>
      <c r="H13" s="4" t="str">
        <f aca="false">IF(OR(D13="",E13=""),"",IF(E13&lt;13,"偏生殖(花距短)",IF(E13&gt;18,"偏營養(花距長)","平衡")))</f>
        <v/>
      </c>
      <c r="I13" s="4"/>
    </row>
    <row r="14" customFormat="false" ht="15" hidden="false" customHeight="false" outlineLevel="0" collapsed="false">
      <c r="A14" s="18"/>
      <c r="B14" s="4"/>
      <c r="C14" s="4"/>
      <c r="D14" s="4"/>
      <c r="E14" s="4"/>
      <c r="F14" s="4"/>
      <c r="G14" s="4"/>
      <c r="H14" s="4" t="str">
        <f aca="false">IF(OR(D14="",E14=""),"",IF(E14&lt;13,"偏生殖(花距短)",IF(E14&gt;18,"偏營養(花距長)","平衡")))</f>
        <v/>
      </c>
      <c r="I14" s="4"/>
    </row>
    <row r="15" customFormat="false" ht="15" hidden="false" customHeight="false" outlineLevel="0" collapsed="false">
      <c r="A15" s="18"/>
      <c r="B15" s="4"/>
      <c r="C15" s="4"/>
      <c r="D15" s="4"/>
      <c r="E15" s="4"/>
      <c r="F15" s="4"/>
      <c r="G15" s="4"/>
      <c r="H15" s="4" t="str">
        <f aca="false">IF(OR(D15="",E15=""),"",IF(E15&lt;13,"偏生殖(花距短)",IF(E15&gt;18,"偏營養(花距長)","平衡")))</f>
        <v/>
      </c>
      <c r="I15" s="4"/>
    </row>
    <row r="16" customFormat="false" ht="15" hidden="false" customHeight="false" outlineLevel="0" collapsed="false">
      <c r="A16" s="18"/>
      <c r="B16" s="4"/>
      <c r="C16" s="4"/>
      <c r="D16" s="4"/>
      <c r="E16" s="4"/>
      <c r="F16" s="4"/>
      <c r="G16" s="4"/>
      <c r="H16" s="4" t="str">
        <f aca="false">IF(OR(D16="",E16=""),"",IF(E16&lt;13,"偏生殖(花距短)",IF(E16&gt;18,"偏營養(花距長)","平衡")))</f>
        <v/>
      </c>
      <c r="I16" s="4"/>
    </row>
    <row r="17" customFormat="false" ht="15" hidden="false" customHeight="false" outlineLevel="0" collapsed="false">
      <c r="A17" s="18"/>
      <c r="B17" s="4"/>
      <c r="C17" s="4"/>
      <c r="D17" s="4"/>
      <c r="E17" s="4"/>
      <c r="F17" s="4"/>
      <c r="G17" s="4"/>
      <c r="H17" s="4" t="str">
        <f aca="false">IF(OR(D17="",E17=""),"",IF(E17&lt;13,"偏生殖(花距短)",IF(E17&gt;18,"偏營養(花距長)","平衡")))</f>
        <v/>
      </c>
      <c r="I17" s="4"/>
    </row>
    <row r="18" customFormat="false" ht="15" hidden="false" customHeight="false" outlineLevel="0" collapsed="false">
      <c r="A18" s="18"/>
      <c r="B18" s="4"/>
      <c r="C18" s="4"/>
      <c r="D18" s="4"/>
      <c r="E18" s="4"/>
      <c r="F18" s="4"/>
      <c r="G18" s="4"/>
      <c r="H18" s="4" t="str">
        <f aca="false">IF(OR(D18="",E18=""),"",IF(E18&lt;13,"偏生殖(花距短)",IF(E18&gt;18,"偏營養(花距長)","平衡")))</f>
        <v/>
      </c>
      <c r="I18" s="4"/>
    </row>
    <row r="19" customFormat="false" ht="15" hidden="false" customHeight="false" outlineLevel="0" collapsed="false">
      <c r="A19" s="18"/>
      <c r="B19" s="4"/>
      <c r="C19" s="4"/>
      <c r="D19" s="4"/>
      <c r="E19" s="4"/>
      <c r="F19" s="4"/>
      <c r="G19" s="4"/>
      <c r="H19" s="4" t="str">
        <f aca="false">IF(OR(D19="",E19=""),"",IF(E19&lt;13,"偏生殖(花距短)",IF(E19&gt;18,"偏營養(花距長)","平衡")))</f>
        <v/>
      </c>
      <c r="I19" s="4"/>
    </row>
    <row r="20" customFormat="false" ht="15" hidden="false" customHeight="false" outlineLevel="0" collapsed="false">
      <c r="A20" s="18"/>
      <c r="B20" s="4"/>
      <c r="C20" s="4"/>
      <c r="D20" s="4"/>
      <c r="E20" s="4"/>
      <c r="F20" s="4"/>
      <c r="G20" s="4"/>
      <c r="H20" s="4" t="str">
        <f aca="false">IF(OR(D20="",E20=""),"",IF(E20&lt;13,"偏生殖(花距短)",IF(E20&gt;18,"偏營養(花距長)","平衡")))</f>
        <v/>
      </c>
      <c r="I20" s="4"/>
    </row>
    <row r="21" customFormat="false" ht="15" hidden="false" customHeight="false" outlineLevel="0" collapsed="false">
      <c r="A21" s="18"/>
      <c r="B21" s="4"/>
      <c r="C21" s="4"/>
      <c r="D21" s="4"/>
      <c r="E21" s="4"/>
      <c r="F21" s="4"/>
      <c r="G21" s="4"/>
      <c r="H21" s="4" t="str">
        <f aca="false">IF(OR(D21="",E21=""),"",IF(E21&lt;13,"偏生殖(花距短)",IF(E21&gt;18,"偏營養(花距長)","平衡")))</f>
        <v/>
      </c>
      <c r="I21" s="4"/>
    </row>
    <row r="22" customFormat="false" ht="15" hidden="false" customHeight="false" outlineLevel="0" collapsed="false">
      <c r="A22" s="18"/>
      <c r="B22" s="4"/>
      <c r="C22" s="4"/>
      <c r="D22" s="4"/>
      <c r="E22" s="4"/>
      <c r="F22" s="4"/>
      <c r="G22" s="4"/>
      <c r="H22" s="4" t="str">
        <f aca="false">IF(OR(D22="",E22=""),"",IF(E22&lt;13,"偏生殖(花距短)",IF(E22&gt;18,"偏營養(花距長)","平衡")))</f>
        <v/>
      </c>
      <c r="I22" s="4"/>
    </row>
    <row r="23" customFormat="false" ht="15" hidden="false" customHeight="false" outlineLevel="0" collapsed="false">
      <c r="A23" s="18"/>
      <c r="B23" s="4"/>
      <c r="C23" s="4"/>
      <c r="D23" s="4"/>
      <c r="E23" s="4"/>
      <c r="F23" s="4"/>
      <c r="G23" s="4"/>
      <c r="H23" s="4" t="str">
        <f aca="false">IF(OR(D23="",E23=""),"",IF(E23&lt;13,"偏生殖(花距短)",IF(E23&gt;18,"偏營養(花距長)","平衡")))</f>
        <v/>
      </c>
      <c r="I23" s="4"/>
    </row>
    <row r="24" customFormat="false" ht="15" hidden="false" customHeight="false" outlineLevel="0" collapsed="false">
      <c r="A24" s="18"/>
      <c r="B24" s="4"/>
      <c r="C24" s="4"/>
      <c r="D24" s="4"/>
      <c r="E24" s="4"/>
      <c r="F24" s="4"/>
      <c r="G24" s="4"/>
      <c r="H24" s="4" t="str">
        <f aca="false">IF(OR(D24="",E24=""),"",IF(E24&lt;13,"偏生殖(花距短)",IF(E24&gt;18,"偏營養(花距長)","平衡")))</f>
        <v/>
      </c>
      <c r="I24" s="4"/>
    </row>
    <row r="25" customFormat="false" ht="15" hidden="false" customHeight="false" outlineLevel="0" collapsed="false">
      <c r="A25" s="18"/>
      <c r="B25" s="4"/>
      <c r="C25" s="4"/>
      <c r="D25" s="4"/>
      <c r="E25" s="4"/>
      <c r="F25" s="4"/>
      <c r="G25" s="4"/>
      <c r="H25" s="4" t="str">
        <f aca="false">IF(OR(D25="",E25=""),"",IF(E25&lt;13,"偏生殖(花距短)",IF(E25&gt;18,"偏營養(花距長)","平衡")))</f>
        <v/>
      </c>
      <c r="I25" s="4"/>
    </row>
    <row r="26" customFormat="false" ht="15" hidden="false" customHeight="false" outlineLevel="0" collapsed="false">
      <c r="A26" s="18"/>
      <c r="B26" s="4"/>
      <c r="C26" s="4"/>
      <c r="D26" s="4"/>
      <c r="E26" s="4"/>
      <c r="F26" s="4"/>
      <c r="G26" s="4"/>
      <c r="H26" s="4" t="str">
        <f aca="false">IF(OR(D26="",E26=""),"",IF(E26&lt;13,"偏生殖(花距短)",IF(E26&gt;18,"偏營養(花距長)","平衡")))</f>
        <v/>
      </c>
      <c r="I26" s="4"/>
    </row>
    <row r="27" customFormat="false" ht="15" hidden="false" customHeight="false" outlineLevel="0" collapsed="false">
      <c r="A27" s="18"/>
      <c r="B27" s="4"/>
      <c r="C27" s="4"/>
      <c r="D27" s="4"/>
      <c r="E27" s="4"/>
      <c r="F27" s="4"/>
      <c r="G27" s="4"/>
      <c r="H27" s="4" t="str">
        <f aca="false">IF(OR(D27="",E27=""),"",IF(E27&lt;13,"偏生殖(花距短)",IF(E27&gt;18,"偏營養(花距長)","平衡")))</f>
        <v/>
      </c>
      <c r="I27" s="4"/>
    </row>
    <row r="28" customFormat="false" ht="15" hidden="false" customHeight="false" outlineLevel="0" collapsed="false">
      <c r="A28" s="18"/>
      <c r="B28" s="4"/>
      <c r="C28" s="4"/>
      <c r="D28" s="4"/>
      <c r="E28" s="4"/>
      <c r="F28" s="4"/>
      <c r="G28" s="4"/>
      <c r="H28" s="4" t="str">
        <f aca="false">IF(OR(D28="",E28=""),"",IF(E28&lt;13,"偏生殖(花距短)",IF(E28&gt;18,"偏營養(花距長)","平衡")))</f>
        <v/>
      </c>
      <c r="I28" s="4"/>
    </row>
    <row r="29" customFormat="false" ht="15" hidden="false" customHeight="false" outlineLevel="0" collapsed="false">
      <c r="A29" s="18"/>
      <c r="B29" s="4"/>
      <c r="C29" s="4"/>
      <c r="D29" s="4"/>
      <c r="E29" s="4"/>
      <c r="F29" s="4"/>
      <c r="G29" s="4"/>
      <c r="H29" s="4" t="str">
        <f aca="false">IF(OR(D29="",E29=""),"",IF(E29&lt;13,"偏生殖(花距短)",IF(E29&gt;18,"偏營養(花距長)","平衡")))</f>
        <v/>
      </c>
      <c r="I29" s="4"/>
    </row>
    <row r="30" customFormat="false" ht="15" hidden="false" customHeight="false" outlineLevel="0" collapsed="false">
      <c r="A30" s="18"/>
      <c r="B30" s="4"/>
      <c r="C30" s="4"/>
      <c r="D30" s="4"/>
      <c r="E30" s="4"/>
      <c r="F30" s="4"/>
      <c r="G30" s="4"/>
      <c r="H30" s="4" t="str">
        <f aca="false">IF(OR(D30="",E30=""),"",IF(E30&lt;13,"偏生殖(花距短)",IF(E30&gt;18,"偏營養(花距長)","平衡")))</f>
        <v/>
      </c>
      <c r="I30" s="4"/>
    </row>
    <row r="31" customFormat="false" ht="15" hidden="false" customHeight="false" outlineLevel="0" collapsed="false">
      <c r="A31" s="18"/>
      <c r="B31" s="4"/>
      <c r="C31" s="4"/>
      <c r="D31" s="4"/>
      <c r="E31" s="4"/>
      <c r="F31" s="4"/>
      <c r="G31" s="4"/>
      <c r="H31" s="4" t="str">
        <f aca="false">IF(OR(D31="",E31=""),"",IF(E31&lt;13,"偏生殖(花距短)",IF(E31&gt;18,"偏營養(花距長)","平衡")))</f>
        <v/>
      </c>
      <c r="I31" s="4"/>
    </row>
    <row r="32" customFormat="false" ht="15" hidden="false" customHeight="false" outlineLevel="0" collapsed="false">
      <c r="A32" s="18"/>
      <c r="B32" s="4"/>
      <c r="C32" s="4"/>
      <c r="D32" s="4"/>
      <c r="E32" s="4"/>
      <c r="F32" s="4"/>
      <c r="G32" s="4"/>
      <c r="H32" s="4" t="str">
        <f aca="false">IF(OR(D32="",E32=""),"",IF(E32&lt;13,"偏生殖(花距短)",IF(E32&gt;18,"偏營養(花距長)","平衡")))</f>
        <v/>
      </c>
      <c r="I32" s="4"/>
    </row>
    <row r="33" customFormat="false" ht="15" hidden="false" customHeight="false" outlineLevel="0" collapsed="false">
      <c r="A33" s="18"/>
      <c r="B33" s="4"/>
      <c r="C33" s="4"/>
      <c r="D33" s="4"/>
      <c r="E33" s="4"/>
      <c r="F33" s="4"/>
      <c r="G33" s="4"/>
      <c r="H33" s="4" t="str">
        <f aca="false">IF(OR(D33="",E33=""),"",IF(E33&lt;13,"偏生殖(花距短)",IF(E33&gt;18,"偏營養(花距長)","平衡")))</f>
        <v/>
      </c>
      <c r="I33" s="4"/>
    </row>
    <row r="34" customFormat="false" ht="15" hidden="false" customHeight="false" outlineLevel="0" collapsed="false">
      <c r="A34" s="18"/>
      <c r="B34" s="4"/>
      <c r="C34" s="4"/>
      <c r="D34" s="4"/>
      <c r="E34" s="4"/>
      <c r="F34" s="4"/>
      <c r="G34" s="4"/>
      <c r="H34" s="4" t="str">
        <f aca="false">IF(OR(D34="",E34=""),"",IF(E34&lt;13,"偏生殖(花距短)",IF(E34&gt;18,"偏營養(花距長)","平衡")))</f>
        <v/>
      </c>
      <c r="I34" s="4"/>
    </row>
    <row r="35" customFormat="false" ht="15" hidden="false" customHeight="false" outlineLevel="0" collapsed="false">
      <c r="A35" s="18"/>
      <c r="B35" s="4"/>
      <c r="C35" s="4"/>
      <c r="D35" s="4"/>
      <c r="E35" s="4"/>
      <c r="F35" s="4"/>
      <c r="G35" s="4"/>
      <c r="H35" s="4" t="str">
        <f aca="false">IF(OR(D35="",E35=""),"",IF(E35&lt;13,"偏生殖(花距短)",IF(E35&gt;18,"偏營養(花距長)","平衡")))</f>
        <v/>
      </c>
      <c r="I35" s="4"/>
    </row>
    <row r="36" customFormat="false" ht="15" hidden="false" customHeight="false" outlineLevel="0" collapsed="false">
      <c r="A36" s="18"/>
      <c r="B36" s="4"/>
      <c r="C36" s="4"/>
      <c r="D36" s="4"/>
      <c r="E36" s="4"/>
      <c r="F36" s="4"/>
      <c r="G36" s="4"/>
      <c r="H36" s="4" t="str">
        <f aca="false">IF(OR(D36="",E36=""),"",IF(E36&lt;13,"偏生殖(花距短)",IF(E36&gt;18,"偏營養(花距長)","平衡")))</f>
        <v/>
      </c>
      <c r="I36" s="4"/>
    </row>
    <row r="37" customFormat="false" ht="15" hidden="false" customHeight="false" outlineLevel="0" collapsed="false">
      <c r="A37" s="18"/>
      <c r="B37" s="4"/>
      <c r="C37" s="4"/>
      <c r="D37" s="4"/>
      <c r="E37" s="4"/>
      <c r="F37" s="4"/>
      <c r="G37" s="4"/>
      <c r="H37" s="4" t="str">
        <f aca="false">IF(OR(D37="",E37=""),"",IF(E37&lt;13,"偏生殖(花距短)",IF(E37&gt;18,"偏營養(花距長)","平衡")))</f>
        <v/>
      </c>
      <c r="I37" s="4"/>
    </row>
    <row r="38" customFormat="false" ht="15" hidden="false" customHeight="false" outlineLevel="0" collapsed="false">
      <c r="A38" s="18"/>
      <c r="B38" s="4"/>
      <c r="C38" s="4"/>
      <c r="D38" s="4"/>
      <c r="E38" s="4"/>
      <c r="F38" s="4"/>
      <c r="G38" s="4"/>
      <c r="H38" s="4" t="str">
        <f aca="false">IF(OR(D38="",E38=""),"",IF(E38&lt;13,"偏生殖(花距短)",IF(E38&gt;18,"偏營養(花距長)","平衡")))</f>
        <v/>
      </c>
      <c r="I38" s="4"/>
    </row>
    <row r="39" customFormat="false" ht="15" hidden="false" customHeight="false" outlineLevel="0" collapsed="false">
      <c r="A39" s="18"/>
      <c r="B39" s="4"/>
      <c r="C39" s="4"/>
      <c r="D39" s="4"/>
      <c r="E39" s="4"/>
      <c r="F39" s="4"/>
      <c r="G39" s="4"/>
      <c r="H39" s="4" t="str">
        <f aca="false">IF(OR(D39="",E39=""),"",IF(E39&lt;13,"偏生殖(花距短)",IF(E39&gt;18,"偏營養(花距長)","平衡")))</f>
        <v/>
      </c>
      <c r="I39" s="4"/>
    </row>
    <row r="40" customFormat="false" ht="15" hidden="false" customHeight="false" outlineLevel="0" collapsed="false">
      <c r="A40" s="18"/>
      <c r="B40" s="4"/>
      <c r="C40" s="4"/>
      <c r="D40" s="4"/>
      <c r="E40" s="4"/>
      <c r="F40" s="4"/>
      <c r="G40" s="4"/>
      <c r="H40" s="4" t="str">
        <f aca="false">IF(OR(D40="",E40=""),"",IF(E40&lt;13,"偏生殖(花距短)",IF(E40&gt;18,"偏營養(花距長)","平衡")))</f>
        <v/>
      </c>
      <c r="I40" s="4"/>
    </row>
    <row r="41" customFormat="false" ht="15" hidden="false" customHeight="false" outlineLevel="0" collapsed="false">
      <c r="A41" s="18"/>
      <c r="B41" s="4"/>
      <c r="C41" s="4"/>
      <c r="D41" s="4"/>
      <c r="E41" s="4"/>
      <c r="F41" s="4"/>
      <c r="G41" s="4"/>
      <c r="H41" s="4" t="str">
        <f aca="false">IF(OR(D41="",E41=""),"",IF(E41&lt;13,"偏生殖(花距短)",IF(E41&gt;18,"偏營養(花距長)","平衡")))</f>
        <v/>
      </c>
      <c r="I41" s="4"/>
    </row>
    <row r="42" customFormat="false" ht="15" hidden="false" customHeight="false" outlineLevel="0" collapsed="false">
      <c r="A42" s="18"/>
      <c r="B42" s="4"/>
      <c r="C42" s="4"/>
      <c r="D42" s="4"/>
      <c r="E42" s="4"/>
      <c r="F42" s="4"/>
      <c r="G42" s="4"/>
      <c r="H42" s="4" t="str">
        <f aca="false">IF(OR(D42="",E42=""),"",IF(E42&lt;13,"偏生殖(花距短)",IF(E42&gt;18,"偏營養(花距長)","平衡")))</f>
        <v/>
      </c>
      <c r="I42" s="4"/>
    </row>
    <row r="43" customFormat="false" ht="15" hidden="false" customHeight="false" outlineLevel="0" collapsed="false">
      <c r="A43" s="18"/>
      <c r="B43" s="4"/>
      <c r="C43" s="4"/>
      <c r="D43" s="4"/>
      <c r="E43" s="4"/>
      <c r="F43" s="4"/>
      <c r="G43" s="4"/>
      <c r="H43" s="4" t="str">
        <f aca="false">IF(OR(D43="",E43=""),"",IF(E43&lt;13,"偏生殖(花距短)",IF(E43&gt;18,"偏營養(花距長)","平衡")))</f>
        <v/>
      </c>
      <c r="I43" s="4"/>
    </row>
    <row r="44" customFormat="false" ht="15" hidden="false" customHeight="false" outlineLevel="0" collapsed="false">
      <c r="A44" s="18"/>
      <c r="B44" s="4"/>
      <c r="C44" s="4"/>
      <c r="D44" s="4"/>
      <c r="E44" s="4"/>
      <c r="F44" s="4"/>
      <c r="G44" s="4"/>
      <c r="H44" s="4" t="str">
        <f aca="false">IF(OR(D44="",E44=""),"",IF(E44&lt;13,"偏生殖(花距短)",IF(E44&gt;18,"偏營養(花距長)","平衡")))</f>
        <v/>
      </c>
      <c r="I44" s="4"/>
    </row>
    <row r="45" customFormat="false" ht="15" hidden="false" customHeight="false" outlineLevel="0" collapsed="false">
      <c r="A45" s="18"/>
      <c r="B45" s="4"/>
      <c r="C45" s="4"/>
      <c r="D45" s="4"/>
      <c r="E45" s="4"/>
      <c r="F45" s="4"/>
      <c r="G45" s="4"/>
      <c r="H45" s="4" t="str">
        <f aca="false">IF(OR(D45="",E45=""),"",IF(E45&lt;13,"偏生殖(花距短)",IF(E45&gt;18,"偏營養(花距長)","平衡")))</f>
        <v/>
      </c>
      <c r="I45" s="4"/>
    </row>
    <row r="46" customFormat="false" ht="15" hidden="false" customHeight="false" outlineLevel="0" collapsed="false">
      <c r="A46" s="18"/>
      <c r="B46" s="4"/>
      <c r="C46" s="4"/>
      <c r="D46" s="4"/>
      <c r="E46" s="4"/>
      <c r="F46" s="4"/>
      <c r="G46" s="4"/>
      <c r="H46" s="4" t="str">
        <f aca="false">IF(OR(D46="",E46=""),"",IF(E46&lt;13,"偏生殖(花距短)",IF(E46&gt;18,"偏營養(花距長)","平衡")))</f>
        <v/>
      </c>
      <c r="I46" s="4"/>
    </row>
    <row r="47" customFormat="false" ht="15" hidden="false" customHeight="false" outlineLevel="0" collapsed="false">
      <c r="A47" s="18"/>
      <c r="B47" s="4"/>
      <c r="C47" s="4"/>
      <c r="D47" s="4"/>
      <c r="E47" s="4"/>
      <c r="F47" s="4"/>
      <c r="G47" s="4"/>
      <c r="H47" s="4" t="str">
        <f aca="false">IF(OR(D47="",E47=""),"",IF(E47&lt;13,"偏生殖(花距短)",IF(E47&gt;18,"偏營養(花距長)","平衡")))</f>
        <v/>
      </c>
      <c r="I47" s="4"/>
    </row>
    <row r="48" customFormat="false" ht="15" hidden="false" customHeight="false" outlineLevel="0" collapsed="false">
      <c r="A48" s="18"/>
      <c r="B48" s="4"/>
      <c r="C48" s="4"/>
      <c r="D48" s="4"/>
      <c r="E48" s="4"/>
      <c r="F48" s="4"/>
      <c r="G48" s="4"/>
      <c r="H48" s="4" t="str">
        <f aca="false">IF(OR(D48="",E48=""),"",IF(E48&lt;13,"偏生殖(花距短)",IF(E48&gt;18,"偏營養(花距長)","平衡")))</f>
        <v/>
      </c>
      <c r="I48" s="4"/>
    </row>
    <row r="49" customFormat="false" ht="15" hidden="false" customHeight="false" outlineLevel="0" collapsed="false">
      <c r="A49" s="18"/>
      <c r="B49" s="4"/>
      <c r="C49" s="4"/>
      <c r="D49" s="4"/>
      <c r="E49" s="4"/>
      <c r="F49" s="4"/>
      <c r="G49" s="4"/>
      <c r="H49" s="4" t="str">
        <f aca="false">IF(OR(D49="",E49=""),"",IF(E49&lt;13,"偏生殖(花距短)",IF(E49&gt;18,"偏營養(花距長)","平衡")))</f>
        <v/>
      </c>
      <c r="I49" s="4"/>
    </row>
    <row r="50" customFormat="false" ht="15" hidden="false" customHeight="false" outlineLevel="0" collapsed="false">
      <c r="A50" s="18"/>
      <c r="B50" s="4"/>
      <c r="C50" s="4"/>
      <c r="D50" s="4"/>
      <c r="E50" s="4"/>
      <c r="F50" s="4"/>
      <c r="G50" s="4"/>
      <c r="H50" s="4" t="str">
        <f aca="false">IF(OR(D50="",E50=""),"",IF(E50&lt;13,"偏生殖(花距短)",IF(E50&gt;18,"偏營養(花距長)","平衡")))</f>
        <v/>
      </c>
      <c r="I50" s="4"/>
    </row>
    <row r="51" customFormat="false" ht="15" hidden="false" customHeight="false" outlineLevel="0" collapsed="false">
      <c r="A51" s="18"/>
      <c r="B51" s="4"/>
      <c r="C51" s="4"/>
      <c r="D51" s="4"/>
      <c r="E51" s="4"/>
      <c r="F51" s="4"/>
      <c r="G51" s="4"/>
      <c r="H51" s="4" t="str">
        <f aca="false">IF(OR(D51="",E51=""),"",IF(E51&lt;13,"偏生殖(花距短)",IF(E51&gt;18,"偏營養(花距長)","平衡")))</f>
        <v/>
      </c>
      <c r="I51" s="4"/>
    </row>
    <row r="52" customFormat="false" ht="15" hidden="false" customHeight="false" outlineLevel="0" collapsed="false">
      <c r="A52" s="18"/>
      <c r="B52" s="4"/>
      <c r="C52" s="4"/>
      <c r="D52" s="4"/>
      <c r="E52" s="4"/>
      <c r="F52" s="4"/>
      <c r="G52" s="4"/>
      <c r="H52" s="4" t="str">
        <f aca="false">IF(OR(D52="",E52=""),"",IF(E52&lt;13,"偏生殖(花距短)",IF(E52&gt;18,"偏營養(花距長)","平衡")))</f>
        <v/>
      </c>
      <c r="I52" s="4"/>
    </row>
    <row r="53" customFormat="false" ht="15" hidden="false" customHeight="false" outlineLevel="0" collapsed="false">
      <c r="A53" s="18"/>
      <c r="B53" s="4"/>
      <c r="C53" s="4"/>
      <c r="D53" s="4"/>
      <c r="E53" s="4"/>
      <c r="F53" s="4"/>
      <c r="G53" s="4"/>
      <c r="H53" s="4" t="str">
        <f aca="false">IF(OR(D53="",E53=""),"",IF(E53&lt;13,"偏生殖(花距短)",IF(E53&gt;18,"偏營養(花距長)","平衡")))</f>
        <v/>
      </c>
      <c r="I53" s="4"/>
    </row>
    <row r="54" customFormat="false" ht="15" hidden="false" customHeight="false" outlineLevel="0" collapsed="false">
      <c r="A54" s="18"/>
      <c r="B54" s="4"/>
      <c r="C54" s="4"/>
      <c r="D54" s="4"/>
      <c r="E54" s="4"/>
      <c r="F54" s="4"/>
      <c r="G54" s="4"/>
      <c r="H54" s="4" t="str">
        <f aca="false">IF(OR(D54="",E54=""),"",IF(E54&lt;13,"偏生殖(花距短)",IF(E54&gt;18,"偏營養(花距長)","平衡")))</f>
        <v/>
      </c>
      <c r="I54" s="4"/>
    </row>
    <row r="55" customFormat="false" ht="15" hidden="false" customHeight="false" outlineLevel="0" collapsed="false">
      <c r="A55" s="18"/>
      <c r="B55" s="4"/>
      <c r="C55" s="4"/>
      <c r="D55" s="4"/>
      <c r="E55" s="4"/>
      <c r="F55" s="4"/>
      <c r="G55" s="4"/>
      <c r="H55" s="4" t="str">
        <f aca="false">IF(OR(D55="",E55=""),"",IF(E55&lt;13,"偏生殖(花距短)",IF(E55&gt;18,"偏營養(花距長)","平衡")))</f>
        <v/>
      </c>
      <c r="I55" s="4"/>
    </row>
    <row r="56" customFormat="false" ht="15" hidden="false" customHeight="false" outlineLevel="0" collapsed="false">
      <c r="A56" s="18"/>
      <c r="B56" s="4"/>
      <c r="C56" s="4"/>
      <c r="D56" s="4"/>
      <c r="E56" s="4"/>
      <c r="F56" s="4"/>
      <c r="G56" s="4"/>
      <c r="H56" s="4" t="str">
        <f aca="false">IF(OR(D56="",E56=""),"",IF(E56&lt;13,"偏生殖(花距短)",IF(E56&gt;18,"偏營養(花距長)","平衡")))</f>
        <v/>
      </c>
      <c r="I56" s="4"/>
    </row>
    <row r="57" customFormat="false" ht="15" hidden="false" customHeight="false" outlineLevel="0" collapsed="false">
      <c r="A57" s="18"/>
      <c r="B57" s="4"/>
      <c r="C57" s="4"/>
      <c r="D57" s="4"/>
      <c r="E57" s="4"/>
      <c r="F57" s="4"/>
      <c r="G57" s="4"/>
      <c r="H57" s="4" t="str">
        <f aca="false">IF(OR(D57="",E57=""),"",IF(E57&lt;13,"偏生殖(花距短)",IF(E57&gt;18,"偏營養(花距長)","平衡")))</f>
        <v/>
      </c>
      <c r="I57" s="4"/>
    </row>
    <row r="58" customFormat="false" ht="15" hidden="false" customHeight="false" outlineLevel="0" collapsed="false">
      <c r="A58" s="18"/>
      <c r="B58" s="4"/>
      <c r="C58" s="4"/>
      <c r="D58" s="4"/>
      <c r="E58" s="4"/>
      <c r="F58" s="4"/>
      <c r="G58" s="4"/>
      <c r="H58" s="4" t="str">
        <f aca="false">IF(OR(D58="",E58=""),"",IF(E58&lt;13,"偏生殖(花距短)",IF(E58&gt;18,"偏營養(花距長)","平衡")))</f>
        <v/>
      </c>
      <c r="I58" s="4"/>
    </row>
    <row r="59" customFormat="false" ht="15" hidden="false" customHeight="false" outlineLevel="0" collapsed="false">
      <c r="A59" s="18"/>
      <c r="B59" s="4"/>
      <c r="C59" s="4"/>
      <c r="D59" s="4"/>
      <c r="E59" s="4"/>
      <c r="F59" s="4"/>
      <c r="G59" s="4"/>
      <c r="H59" s="4" t="str">
        <f aca="false">IF(OR(D59="",E59=""),"",IF(E59&lt;13,"偏生殖(花距短)",IF(E59&gt;18,"偏營養(花距長)","平衡")))</f>
        <v/>
      </c>
      <c r="I59" s="4"/>
    </row>
    <row r="60" customFormat="false" ht="15" hidden="false" customHeight="false" outlineLevel="0" collapsed="false">
      <c r="A60" s="18"/>
      <c r="B60" s="4"/>
      <c r="C60" s="4"/>
      <c r="D60" s="4"/>
      <c r="E60" s="4"/>
      <c r="F60" s="4"/>
      <c r="G60" s="4"/>
      <c r="H60" s="4" t="str">
        <f aca="false">IF(OR(D60="",E60=""),"",IF(E60&lt;13,"偏生殖(花距短)",IF(E60&gt;18,"偏營養(花距長)","平衡")))</f>
        <v/>
      </c>
      <c r="I60" s="4"/>
    </row>
    <row r="61" customFormat="false" ht="15" hidden="false" customHeight="false" outlineLevel="0" collapsed="false">
      <c r="A61" s="18"/>
      <c r="B61" s="4"/>
      <c r="C61" s="4"/>
      <c r="D61" s="4"/>
      <c r="E61" s="4"/>
      <c r="F61" s="4"/>
      <c r="G61" s="4"/>
      <c r="H61" s="4" t="str">
        <f aca="false">IF(OR(D61="",E61=""),"",IF(E61&lt;13,"偏生殖(花距短)",IF(E61&gt;18,"偏營養(花距長)","平衡")))</f>
        <v/>
      </c>
      <c r="I61" s="4"/>
    </row>
    <row r="62" customFormat="false" ht="15" hidden="false" customHeight="false" outlineLevel="0" collapsed="false">
      <c r="A62" s="18"/>
      <c r="B62" s="4"/>
      <c r="C62" s="4"/>
      <c r="D62" s="4"/>
      <c r="E62" s="4"/>
      <c r="F62" s="4"/>
      <c r="G62" s="4"/>
      <c r="H62" s="4" t="str">
        <f aca="false">IF(OR(D62="",E62=""),"",IF(E62&lt;13,"偏生殖(花距短)",IF(E62&gt;18,"偏營養(花距長)","平衡")))</f>
        <v/>
      </c>
      <c r="I62" s="4"/>
    </row>
    <row r="63" customFormat="false" ht="15" hidden="false" customHeight="false" outlineLevel="0" collapsed="false">
      <c r="A63" s="18"/>
      <c r="B63" s="4"/>
      <c r="C63" s="4"/>
      <c r="D63" s="4"/>
      <c r="E63" s="4"/>
      <c r="F63" s="4"/>
      <c r="G63" s="4"/>
      <c r="H63" s="4" t="str">
        <f aca="false">IF(OR(D63="",E63=""),"",IF(E63&lt;13,"偏生殖(花距短)",IF(E63&gt;18,"偏營養(花距長)","平衡")))</f>
        <v/>
      </c>
      <c r="I63" s="4"/>
    </row>
    <row r="64" customFormat="false" ht="15" hidden="false" customHeight="false" outlineLevel="0" collapsed="false">
      <c r="A64" s="18"/>
      <c r="B64" s="4"/>
      <c r="C64" s="4"/>
      <c r="D64" s="4"/>
      <c r="E64" s="4"/>
      <c r="F64" s="4"/>
      <c r="G64" s="4"/>
      <c r="H64" s="4" t="str">
        <f aca="false">IF(OR(D64="",E64=""),"",IF(E64&lt;13,"偏生殖(花距短)",IF(E64&gt;18,"偏營養(花距長)","平衡")))</f>
        <v/>
      </c>
      <c r="I64" s="4"/>
    </row>
    <row r="65" customFormat="false" ht="15" hidden="false" customHeight="false" outlineLevel="0" collapsed="false">
      <c r="A65" s="18"/>
      <c r="B65" s="4"/>
      <c r="C65" s="4"/>
      <c r="D65" s="4"/>
      <c r="E65" s="4"/>
      <c r="F65" s="4"/>
      <c r="G65" s="4"/>
      <c r="H65" s="4" t="str">
        <f aca="false">IF(OR(D65="",E65=""),"",IF(E65&lt;13,"偏生殖(花距短)",IF(E65&gt;18,"偏營養(花距長)","平衡")))</f>
        <v/>
      </c>
      <c r="I65" s="4"/>
    </row>
    <row r="66" customFormat="false" ht="15" hidden="false" customHeight="false" outlineLevel="0" collapsed="false">
      <c r="A66" s="18"/>
      <c r="B66" s="4"/>
      <c r="C66" s="4"/>
      <c r="D66" s="4"/>
      <c r="E66" s="4"/>
      <c r="F66" s="4"/>
      <c r="G66" s="4"/>
      <c r="H66" s="4" t="str">
        <f aca="false">IF(OR(D66="",E66=""),"",IF(E66&lt;13,"偏生殖(花距短)",IF(E66&gt;18,"偏營養(花距長)","平衡")))</f>
        <v/>
      </c>
      <c r="I66" s="4"/>
    </row>
    <row r="67" customFormat="false" ht="15" hidden="false" customHeight="false" outlineLevel="0" collapsed="false">
      <c r="A67" s="18"/>
      <c r="B67" s="4"/>
      <c r="C67" s="4"/>
      <c r="D67" s="4"/>
      <c r="E67" s="4"/>
      <c r="F67" s="4"/>
      <c r="G67" s="4"/>
      <c r="H67" s="4" t="str">
        <f aca="false">IF(OR(D67="",E67=""),"",IF(E67&lt;13,"偏生殖(花距短)",IF(E67&gt;18,"偏營養(花距長)","平衡")))</f>
        <v/>
      </c>
      <c r="I67" s="4"/>
    </row>
    <row r="68" customFormat="false" ht="15" hidden="false" customHeight="false" outlineLevel="0" collapsed="false">
      <c r="A68" s="18"/>
      <c r="B68" s="4"/>
      <c r="C68" s="4"/>
      <c r="D68" s="4"/>
      <c r="E68" s="4"/>
      <c r="F68" s="4"/>
      <c r="G68" s="4"/>
      <c r="H68" s="4" t="str">
        <f aca="false">IF(OR(D68="",E68=""),"",IF(E68&lt;13,"偏生殖(花距短)",IF(E68&gt;18,"偏營養(花距長)","平衡")))</f>
        <v/>
      </c>
      <c r="I68" s="4"/>
    </row>
    <row r="69" customFormat="false" ht="15" hidden="false" customHeight="false" outlineLevel="0" collapsed="false">
      <c r="A69" s="18"/>
      <c r="B69" s="4"/>
      <c r="C69" s="4"/>
      <c r="D69" s="4"/>
      <c r="E69" s="4"/>
      <c r="F69" s="4"/>
      <c r="G69" s="4"/>
      <c r="H69" s="4" t="str">
        <f aca="false">IF(OR(D69="",E69=""),"",IF(E69&lt;13,"偏生殖(花距短)",IF(E69&gt;18,"偏營養(花距長)","平衡")))</f>
        <v/>
      </c>
      <c r="I69" s="4"/>
    </row>
    <row r="70" customFormat="false" ht="15" hidden="false" customHeight="false" outlineLevel="0" collapsed="false">
      <c r="A70" s="18"/>
      <c r="B70" s="4"/>
      <c r="C70" s="4"/>
      <c r="D70" s="4"/>
      <c r="E70" s="4"/>
      <c r="F70" s="4"/>
      <c r="G70" s="4"/>
      <c r="H70" s="4" t="str">
        <f aca="false">IF(OR(D70="",E70=""),"",IF(E70&lt;13,"偏生殖(花距短)",IF(E70&gt;18,"偏營養(花距長)","平衡")))</f>
        <v/>
      </c>
      <c r="I70" s="4"/>
    </row>
    <row r="71" customFormat="false" ht="15" hidden="false" customHeight="false" outlineLevel="0" collapsed="false">
      <c r="A71" s="18"/>
      <c r="B71" s="4"/>
      <c r="C71" s="4"/>
      <c r="D71" s="4"/>
      <c r="E71" s="4"/>
      <c r="F71" s="4"/>
      <c r="G71" s="4"/>
      <c r="H71" s="4" t="str">
        <f aca="false">IF(OR(D71="",E71=""),"",IF(E71&lt;13,"偏生殖(花距短)",IF(E71&gt;18,"偏營養(花距長)","平衡")))</f>
        <v/>
      </c>
      <c r="I71" s="4"/>
    </row>
    <row r="72" customFormat="false" ht="15" hidden="false" customHeight="false" outlineLevel="0" collapsed="false">
      <c r="A72" s="18"/>
      <c r="B72" s="4"/>
      <c r="C72" s="4"/>
      <c r="D72" s="4"/>
      <c r="E72" s="4"/>
      <c r="F72" s="4"/>
      <c r="G72" s="4"/>
      <c r="H72" s="4" t="str">
        <f aca="false">IF(OR(D72="",E72=""),"",IF(E72&lt;13,"偏生殖(花距短)",IF(E72&gt;18,"偏營養(花距長)","平衡")))</f>
        <v/>
      </c>
      <c r="I72" s="4"/>
    </row>
    <row r="73" customFormat="false" ht="15" hidden="false" customHeight="false" outlineLevel="0" collapsed="false">
      <c r="A73" s="18"/>
      <c r="B73" s="4"/>
      <c r="C73" s="4"/>
      <c r="D73" s="4"/>
      <c r="E73" s="4"/>
      <c r="F73" s="4"/>
      <c r="G73" s="4"/>
      <c r="H73" s="4" t="str">
        <f aca="false">IF(OR(D73="",E73=""),"",IF(E73&lt;13,"偏生殖(花距短)",IF(E73&gt;18,"偏營養(花距長)","平衡")))</f>
        <v/>
      </c>
      <c r="I73" s="4"/>
    </row>
    <row r="74" customFormat="false" ht="15" hidden="false" customHeight="false" outlineLevel="0" collapsed="false">
      <c r="A74" s="18"/>
      <c r="B74" s="4"/>
      <c r="C74" s="4"/>
      <c r="D74" s="4"/>
      <c r="E74" s="4"/>
      <c r="F74" s="4"/>
      <c r="G74" s="4"/>
      <c r="H74" s="4" t="str">
        <f aca="false">IF(OR(D74="",E74=""),"",IF(E74&lt;13,"偏生殖(花距短)",IF(E74&gt;18,"偏營養(花距長)","平衡")))</f>
        <v/>
      </c>
      <c r="I74" s="4"/>
    </row>
    <row r="75" customFormat="false" ht="15" hidden="false" customHeight="false" outlineLevel="0" collapsed="false">
      <c r="A75" s="18"/>
      <c r="B75" s="4"/>
      <c r="C75" s="4"/>
      <c r="D75" s="4"/>
      <c r="E75" s="4"/>
      <c r="F75" s="4"/>
      <c r="G75" s="4"/>
      <c r="H75" s="4" t="str">
        <f aca="false">IF(OR(D75="",E75=""),"",IF(E75&lt;13,"偏生殖(花距短)",IF(E75&gt;18,"偏營養(花距長)","平衡")))</f>
        <v/>
      </c>
      <c r="I75" s="4"/>
    </row>
    <row r="76" customFormat="false" ht="15" hidden="false" customHeight="false" outlineLevel="0" collapsed="false">
      <c r="A76" s="18"/>
      <c r="B76" s="4"/>
      <c r="C76" s="4"/>
      <c r="D76" s="4"/>
      <c r="E76" s="4"/>
      <c r="F76" s="4"/>
      <c r="G76" s="4"/>
      <c r="H76" s="4" t="str">
        <f aca="false">IF(OR(D76="",E76=""),"",IF(E76&lt;13,"偏生殖(花距短)",IF(E76&gt;18,"偏營養(花距長)","平衡")))</f>
        <v/>
      </c>
      <c r="I76" s="4"/>
    </row>
    <row r="77" customFormat="false" ht="15" hidden="false" customHeight="false" outlineLevel="0" collapsed="false">
      <c r="A77" s="18"/>
      <c r="B77" s="4"/>
      <c r="C77" s="4"/>
      <c r="D77" s="4"/>
      <c r="E77" s="4"/>
      <c r="F77" s="4"/>
      <c r="G77" s="4"/>
      <c r="H77" s="4" t="str">
        <f aca="false">IF(OR(D77="",E77=""),"",IF(E77&lt;13,"偏生殖(花距短)",IF(E77&gt;18,"偏營養(花距長)","平衡")))</f>
        <v/>
      </c>
      <c r="I77" s="4"/>
    </row>
    <row r="78" customFormat="false" ht="15" hidden="false" customHeight="false" outlineLevel="0" collapsed="false">
      <c r="A78" s="18"/>
      <c r="B78" s="4"/>
      <c r="C78" s="4"/>
      <c r="D78" s="4"/>
      <c r="E78" s="4"/>
      <c r="F78" s="4"/>
      <c r="G78" s="4"/>
      <c r="H78" s="4" t="str">
        <f aca="false">IF(OR(D78="",E78=""),"",IF(E78&lt;13,"偏生殖(花距短)",IF(E78&gt;18,"偏營養(花距長)","平衡")))</f>
        <v/>
      </c>
      <c r="I78" s="4"/>
    </row>
    <row r="79" customFormat="false" ht="15" hidden="false" customHeight="false" outlineLevel="0" collapsed="false">
      <c r="A79" s="18"/>
      <c r="B79" s="4"/>
      <c r="C79" s="4"/>
      <c r="D79" s="4"/>
      <c r="E79" s="4"/>
      <c r="F79" s="4"/>
      <c r="G79" s="4"/>
      <c r="H79" s="4" t="str">
        <f aca="false">IF(OR(D79="",E79=""),"",IF(E79&lt;13,"偏生殖(花距短)",IF(E79&gt;18,"偏營養(花距長)","平衡")))</f>
        <v/>
      </c>
      <c r="I79" s="4"/>
    </row>
    <row r="80" customFormat="false" ht="15" hidden="false" customHeight="false" outlineLevel="0" collapsed="false">
      <c r="A80" s="18"/>
      <c r="B80" s="4"/>
      <c r="C80" s="4"/>
      <c r="D80" s="4"/>
      <c r="E80" s="4"/>
      <c r="F80" s="4"/>
      <c r="G80" s="4"/>
      <c r="H80" s="4" t="str">
        <f aca="false">IF(OR(D80="",E80=""),"",IF(E80&lt;13,"偏生殖(花距短)",IF(E80&gt;18,"偏營養(花距長)","平衡")))</f>
        <v/>
      </c>
      <c r="I80" s="4"/>
    </row>
    <row r="81" customFormat="false" ht="15" hidden="false" customHeight="false" outlineLevel="0" collapsed="false">
      <c r="A81" s="18"/>
      <c r="B81" s="4"/>
      <c r="C81" s="4"/>
      <c r="D81" s="4"/>
      <c r="E81" s="4"/>
      <c r="F81" s="4"/>
      <c r="G81" s="4"/>
      <c r="H81" s="4" t="str">
        <f aca="false">IF(OR(D81="",E81=""),"",IF(E81&lt;13,"偏生殖(花距短)",IF(E81&gt;18,"偏營養(花距長)","平衡")))</f>
        <v/>
      </c>
      <c r="I81" s="4"/>
    </row>
    <row r="82" customFormat="false" ht="15" hidden="false" customHeight="false" outlineLevel="0" collapsed="false">
      <c r="A82" s="18"/>
      <c r="B82" s="4"/>
      <c r="C82" s="4"/>
      <c r="D82" s="4"/>
      <c r="E82" s="4"/>
      <c r="F82" s="4"/>
      <c r="G82" s="4"/>
      <c r="H82" s="4" t="str">
        <f aca="false">IF(OR(D82="",E82=""),"",IF(E82&lt;13,"偏生殖(花距短)",IF(E82&gt;18,"偏營養(花距長)","平衡")))</f>
        <v/>
      </c>
      <c r="I82" s="4"/>
    </row>
    <row r="83" customFormat="false" ht="15" hidden="false" customHeight="false" outlineLevel="0" collapsed="false">
      <c r="A83" s="18"/>
      <c r="B83" s="4"/>
      <c r="C83" s="4"/>
      <c r="D83" s="4"/>
      <c r="E83" s="4"/>
      <c r="F83" s="4"/>
      <c r="G83" s="4"/>
      <c r="H83" s="4" t="str">
        <f aca="false">IF(OR(D83="",E83=""),"",IF(E83&lt;13,"偏生殖(花距短)",IF(E83&gt;18,"偏營養(花距長)","平衡")))</f>
        <v/>
      </c>
      <c r="I83" s="4"/>
    </row>
    <row r="84" customFormat="false" ht="15" hidden="false" customHeight="false" outlineLevel="0" collapsed="false">
      <c r="A84" s="18"/>
      <c r="B84" s="4"/>
      <c r="C84" s="4"/>
      <c r="D84" s="4"/>
      <c r="E84" s="4"/>
      <c r="F84" s="4"/>
      <c r="G84" s="4"/>
      <c r="H84" s="4" t="str">
        <f aca="false">IF(OR(D84="",E84=""),"",IF(E84&lt;13,"偏生殖(花距短)",IF(E84&gt;18,"偏營養(花距長)","平衡")))</f>
        <v/>
      </c>
      <c r="I84" s="4"/>
    </row>
    <row r="85" customFormat="false" ht="15" hidden="false" customHeight="false" outlineLevel="0" collapsed="false">
      <c r="A85" s="18"/>
      <c r="B85" s="4"/>
      <c r="C85" s="4"/>
      <c r="D85" s="4"/>
      <c r="E85" s="4"/>
      <c r="F85" s="4"/>
      <c r="G85" s="4"/>
      <c r="H85" s="4" t="str">
        <f aca="false">IF(OR(D85="",E85=""),"",IF(E85&lt;13,"偏生殖(花距短)",IF(E85&gt;18,"偏營養(花距長)","平衡")))</f>
        <v/>
      </c>
      <c r="I85" s="4"/>
    </row>
    <row r="86" customFormat="false" ht="15" hidden="false" customHeight="false" outlineLevel="0" collapsed="false">
      <c r="A86" s="18"/>
      <c r="B86" s="4"/>
      <c r="C86" s="4"/>
      <c r="D86" s="4"/>
      <c r="E86" s="4"/>
      <c r="F86" s="4"/>
      <c r="G86" s="4"/>
      <c r="H86" s="4" t="str">
        <f aca="false">IF(OR(D86="",E86=""),"",IF(E86&lt;13,"偏生殖(花距短)",IF(E86&gt;18,"偏營養(花距長)","平衡")))</f>
        <v/>
      </c>
      <c r="I86" s="4"/>
    </row>
    <row r="87" customFormat="false" ht="15" hidden="false" customHeight="false" outlineLevel="0" collapsed="false">
      <c r="A87" s="18"/>
      <c r="B87" s="4"/>
      <c r="C87" s="4"/>
      <c r="D87" s="4"/>
      <c r="E87" s="4"/>
      <c r="F87" s="4"/>
      <c r="G87" s="4"/>
      <c r="H87" s="4" t="str">
        <f aca="false">IF(OR(D87="",E87=""),"",IF(E87&lt;13,"偏生殖(花距短)",IF(E87&gt;18,"偏營養(花距長)","平衡")))</f>
        <v/>
      </c>
      <c r="I87" s="4"/>
    </row>
    <row r="88" customFormat="false" ht="15" hidden="false" customHeight="false" outlineLevel="0" collapsed="false">
      <c r="A88" s="18"/>
      <c r="B88" s="4"/>
      <c r="C88" s="4"/>
      <c r="D88" s="4"/>
      <c r="E88" s="4"/>
      <c r="F88" s="4"/>
      <c r="G88" s="4"/>
      <c r="H88" s="4" t="str">
        <f aca="false">IF(OR(D88="",E88=""),"",IF(E88&lt;13,"偏生殖(花距短)",IF(E88&gt;18,"偏營養(花距長)","平衡")))</f>
        <v/>
      </c>
      <c r="I88" s="4"/>
    </row>
    <row r="89" customFormat="false" ht="15" hidden="false" customHeight="false" outlineLevel="0" collapsed="false">
      <c r="A89" s="18"/>
      <c r="B89" s="4"/>
      <c r="C89" s="4"/>
      <c r="D89" s="4"/>
      <c r="E89" s="4"/>
      <c r="F89" s="4"/>
      <c r="G89" s="4"/>
      <c r="H89" s="4" t="str">
        <f aca="false">IF(OR(D89="",E89=""),"",IF(E89&lt;13,"偏生殖(花距短)",IF(E89&gt;18,"偏營養(花距長)","平衡")))</f>
        <v/>
      </c>
      <c r="I89" s="4"/>
    </row>
    <row r="90" customFormat="false" ht="15" hidden="false" customHeight="false" outlineLevel="0" collapsed="false">
      <c r="A90" s="18"/>
      <c r="B90" s="4"/>
      <c r="C90" s="4"/>
      <c r="D90" s="4"/>
      <c r="E90" s="4"/>
      <c r="F90" s="4"/>
      <c r="G90" s="4"/>
      <c r="H90" s="4" t="str">
        <f aca="false">IF(OR(D90="",E90=""),"",IF(E90&lt;13,"偏生殖(花距短)",IF(E90&gt;18,"偏營養(花距長)","平衡")))</f>
        <v/>
      </c>
      <c r="I90" s="4"/>
    </row>
    <row r="91" customFormat="false" ht="15" hidden="false" customHeight="false" outlineLevel="0" collapsed="false">
      <c r="A91" s="18"/>
      <c r="B91" s="4"/>
      <c r="C91" s="4"/>
      <c r="D91" s="4"/>
      <c r="E91" s="4"/>
      <c r="F91" s="4"/>
      <c r="G91" s="4"/>
      <c r="H91" s="4" t="str">
        <f aca="false">IF(OR(D91="",E91=""),"",IF(E91&lt;13,"偏生殖(花距短)",IF(E91&gt;18,"偏營養(花距長)","平衡")))</f>
        <v/>
      </c>
      <c r="I91" s="4"/>
    </row>
    <row r="92" customFormat="false" ht="15" hidden="false" customHeight="false" outlineLevel="0" collapsed="false">
      <c r="A92" s="18"/>
      <c r="B92" s="4"/>
      <c r="C92" s="4"/>
      <c r="D92" s="4"/>
      <c r="E92" s="4"/>
      <c r="F92" s="4"/>
      <c r="G92" s="4"/>
      <c r="H92" s="4" t="str">
        <f aca="false">IF(OR(D92="",E92=""),"",IF(E92&lt;13,"偏生殖(花距短)",IF(E92&gt;18,"偏營養(花距長)","平衡")))</f>
        <v/>
      </c>
      <c r="I92" s="4"/>
    </row>
    <row r="93" customFormat="false" ht="15" hidden="false" customHeight="false" outlineLevel="0" collapsed="false">
      <c r="A93" s="18"/>
      <c r="B93" s="4"/>
      <c r="C93" s="4"/>
      <c r="D93" s="4"/>
      <c r="E93" s="4"/>
      <c r="F93" s="4"/>
      <c r="G93" s="4"/>
      <c r="H93" s="4" t="str">
        <f aca="false">IF(OR(D93="",E93=""),"",IF(E93&lt;13,"偏生殖(花距短)",IF(E93&gt;18,"偏營養(花距長)","平衡")))</f>
        <v/>
      </c>
      <c r="I93" s="4"/>
    </row>
    <row r="94" customFormat="false" ht="15" hidden="false" customHeight="false" outlineLevel="0" collapsed="false">
      <c r="A94" s="18"/>
      <c r="B94" s="4"/>
      <c r="C94" s="4"/>
      <c r="D94" s="4"/>
      <c r="E94" s="4"/>
      <c r="F94" s="4"/>
      <c r="G94" s="4"/>
      <c r="H94" s="4" t="str">
        <f aca="false">IF(OR(D94="",E94=""),"",IF(E94&lt;13,"偏生殖(花距短)",IF(E94&gt;18,"偏營養(花距長)","平衡")))</f>
        <v/>
      </c>
      <c r="I94" s="4"/>
    </row>
    <row r="95" customFormat="false" ht="15" hidden="false" customHeight="false" outlineLevel="0" collapsed="false">
      <c r="A95" s="18"/>
      <c r="B95" s="4"/>
      <c r="C95" s="4"/>
      <c r="D95" s="4"/>
      <c r="E95" s="4"/>
      <c r="F95" s="4"/>
      <c r="G95" s="4"/>
      <c r="H95" s="4" t="str">
        <f aca="false">IF(OR(D95="",E95=""),"",IF(E95&lt;13,"偏生殖(花距短)",IF(E95&gt;18,"偏營養(花距長)","平衡")))</f>
        <v/>
      </c>
      <c r="I95" s="4"/>
    </row>
    <row r="96" customFormat="false" ht="15" hidden="false" customHeight="false" outlineLevel="0" collapsed="false">
      <c r="A96" s="18"/>
      <c r="B96" s="4"/>
      <c r="C96" s="4"/>
      <c r="D96" s="4"/>
      <c r="E96" s="4"/>
      <c r="F96" s="4"/>
      <c r="G96" s="4"/>
      <c r="H96" s="4" t="str">
        <f aca="false">IF(OR(D96="",E96=""),"",IF(E96&lt;13,"偏生殖(花距短)",IF(E96&gt;18,"偏營養(花距長)","平衡")))</f>
        <v/>
      </c>
      <c r="I96" s="4"/>
    </row>
    <row r="97" customFormat="false" ht="15" hidden="false" customHeight="false" outlineLevel="0" collapsed="false">
      <c r="A97" s="18"/>
      <c r="B97" s="4"/>
      <c r="C97" s="4"/>
      <c r="D97" s="4"/>
      <c r="E97" s="4"/>
      <c r="F97" s="4"/>
      <c r="G97" s="4"/>
      <c r="H97" s="4" t="str">
        <f aca="false">IF(OR(D97="",E97=""),"",IF(E97&lt;13,"偏生殖(花距短)",IF(E97&gt;18,"偏營養(花距長)","平衡")))</f>
        <v/>
      </c>
      <c r="I97" s="4"/>
    </row>
    <row r="98" customFormat="false" ht="15" hidden="false" customHeight="false" outlineLevel="0" collapsed="false">
      <c r="A98" s="18"/>
      <c r="B98" s="4"/>
      <c r="C98" s="4"/>
      <c r="D98" s="4"/>
      <c r="E98" s="4"/>
      <c r="F98" s="4"/>
      <c r="G98" s="4"/>
      <c r="H98" s="4" t="str">
        <f aca="false">IF(OR(D98="",E98=""),"",IF(E98&lt;13,"偏生殖(花距短)",IF(E98&gt;18,"偏營養(花距長)","平衡")))</f>
        <v/>
      </c>
      <c r="I98" s="4"/>
    </row>
    <row r="99" customFormat="false" ht="15" hidden="false" customHeight="false" outlineLevel="0" collapsed="false">
      <c r="A99" s="18"/>
      <c r="B99" s="4"/>
      <c r="C99" s="4"/>
      <c r="D99" s="4"/>
      <c r="E99" s="4"/>
      <c r="F99" s="4"/>
      <c r="G99" s="4"/>
      <c r="H99" s="4" t="str">
        <f aca="false">IF(OR(D99="",E99=""),"",IF(E99&lt;13,"偏生殖(花距短)",IF(E99&gt;18,"偏營養(花距長)","平衡")))</f>
        <v/>
      </c>
      <c r="I99" s="4"/>
    </row>
    <row r="100" customFormat="false" ht="15" hidden="false" customHeight="false" outlineLevel="0" collapsed="false">
      <c r="A100" s="18"/>
      <c r="B100" s="4"/>
      <c r="C100" s="4"/>
      <c r="D100" s="4"/>
      <c r="E100" s="4"/>
      <c r="F100" s="4"/>
      <c r="G100" s="4"/>
      <c r="H100" s="4" t="str">
        <f aca="false">IF(OR(D100="",E100=""),"",IF(E100&lt;13,"偏生殖(花距短)",IF(E100&gt;18,"偏營養(花距長)","平衡")))</f>
        <v/>
      </c>
      <c r="I100" s="4"/>
    </row>
    <row r="101" customFormat="false" ht="15" hidden="false" customHeight="false" outlineLevel="0" collapsed="false">
      <c r="A101" s="18"/>
      <c r="B101" s="4"/>
      <c r="C101" s="4"/>
      <c r="D101" s="4"/>
      <c r="E101" s="4"/>
      <c r="F101" s="4"/>
      <c r="G101" s="4"/>
      <c r="H101" s="4" t="str">
        <f aca="false">IF(OR(D101="",E101=""),"",IF(E101&lt;13,"偏生殖(花距短)",IF(E101&gt;18,"偏營養(花距長)","平衡")))</f>
        <v/>
      </c>
      <c r="I101" s="4"/>
    </row>
    <row r="102" customFormat="false" ht="15" hidden="false" customHeight="false" outlineLevel="0" collapsed="false">
      <c r="A102" s="18"/>
      <c r="B102" s="4"/>
      <c r="C102" s="4"/>
      <c r="D102" s="4"/>
      <c r="E102" s="4"/>
      <c r="F102" s="4"/>
      <c r="G102" s="4"/>
      <c r="H102" s="4" t="str">
        <f aca="false">IF(OR(D102="",E102=""),"",IF(E102&lt;13,"偏生殖(花距短)",IF(E102&gt;18,"偏營養(花距長)","平衡")))</f>
        <v/>
      </c>
      <c r="I102" s="4"/>
    </row>
    <row r="103" customFormat="false" ht="15" hidden="false" customHeight="false" outlineLevel="0" collapsed="false">
      <c r="A103" s="18"/>
      <c r="B103" s="4"/>
      <c r="C103" s="4"/>
      <c r="D103" s="4"/>
      <c r="E103" s="4"/>
      <c r="F103" s="4"/>
      <c r="G103" s="4"/>
      <c r="H103" s="4" t="str">
        <f aca="false">IF(OR(D103="",E103=""),"",IF(E103&lt;13,"偏生殖(花距短)",IF(E103&gt;18,"偏營養(花距長)","平衡")))</f>
        <v/>
      </c>
      <c r="I103" s="4"/>
    </row>
    <row r="104" customFormat="false" ht="15" hidden="false" customHeight="false" outlineLevel="0" collapsed="false">
      <c r="A104" s="18"/>
      <c r="B104" s="4"/>
      <c r="C104" s="4"/>
      <c r="D104" s="4"/>
      <c r="E104" s="4"/>
      <c r="F104" s="4"/>
      <c r="G104" s="4"/>
      <c r="H104" s="4" t="str">
        <f aca="false">IF(OR(D104="",E104=""),"",IF(E104&lt;13,"偏生殖(花距短)",IF(E104&gt;18,"偏營養(花距長)","平衡")))</f>
        <v/>
      </c>
      <c r="I104" s="4"/>
    </row>
    <row r="105" customFormat="false" ht="15" hidden="false" customHeight="false" outlineLevel="0" collapsed="false">
      <c r="A105" s="18"/>
      <c r="B105" s="4"/>
      <c r="C105" s="4"/>
      <c r="D105" s="4"/>
      <c r="E105" s="4"/>
      <c r="F105" s="4"/>
      <c r="G105" s="4"/>
      <c r="H105" s="4" t="str">
        <f aca="false">IF(OR(D105="",E105=""),"",IF(E105&lt;13,"偏生殖(花距短)",IF(E105&gt;18,"偏營養(花距長)","平衡")))</f>
        <v/>
      </c>
      <c r="I105" s="4"/>
    </row>
    <row r="106" customFormat="false" ht="15" hidden="false" customHeight="false" outlineLevel="0" collapsed="false">
      <c r="A106" s="18"/>
      <c r="B106" s="4"/>
      <c r="C106" s="4"/>
      <c r="D106" s="4"/>
      <c r="E106" s="4"/>
      <c r="F106" s="4"/>
      <c r="G106" s="4"/>
      <c r="H106" s="4" t="str">
        <f aca="false">IF(OR(D106="",E106=""),"",IF(E106&lt;13,"偏生殖(花距短)",IF(E106&gt;18,"偏營養(花距長)","平衡")))</f>
        <v/>
      </c>
      <c r="I106" s="4"/>
    </row>
    <row r="107" customFormat="false" ht="15" hidden="false" customHeight="false" outlineLevel="0" collapsed="false">
      <c r="A107" s="18"/>
      <c r="B107" s="4"/>
      <c r="C107" s="4"/>
      <c r="D107" s="4"/>
      <c r="E107" s="4"/>
      <c r="F107" s="4"/>
      <c r="G107" s="4"/>
      <c r="H107" s="4" t="str">
        <f aca="false">IF(OR(D107="",E107=""),"",IF(E107&lt;13,"偏生殖(花距短)",IF(E107&gt;18,"偏營養(花距長)","平衡")))</f>
        <v/>
      </c>
      <c r="I107" s="4"/>
    </row>
    <row r="108" customFormat="false" ht="15" hidden="false" customHeight="false" outlineLevel="0" collapsed="false">
      <c r="A108" s="18"/>
      <c r="B108" s="4"/>
      <c r="C108" s="4"/>
      <c r="D108" s="4"/>
      <c r="E108" s="4"/>
      <c r="F108" s="4"/>
      <c r="G108" s="4"/>
      <c r="H108" s="4" t="str">
        <f aca="false">IF(OR(D108="",E108=""),"",IF(E108&lt;13,"偏生殖(花距短)",IF(E108&gt;18,"偏營養(花距長)","平衡")))</f>
        <v/>
      </c>
      <c r="I108" s="4"/>
    </row>
    <row r="109" customFormat="false" ht="15" hidden="false" customHeight="false" outlineLevel="0" collapsed="false">
      <c r="A109" s="18"/>
      <c r="B109" s="4"/>
      <c r="C109" s="4"/>
      <c r="D109" s="4"/>
      <c r="E109" s="4"/>
      <c r="F109" s="4"/>
      <c r="G109" s="4"/>
      <c r="H109" s="4" t="str">
        <f aca="false">IF(OR(D109="",E109=""),"",IF(E109&lt;13,"偏生殖(花距短)",IF(E109&gt;18,"偏營養(花距長)","平衡")))</f>
        <v/>
      </c>
      <c r="I109" s="4"/>
    </row>
    <row r="110" customFormat="false" ht="15" hidden="false" customHeight="false" outlineLevel="0" collapsed="false">
      <c r="A110" s="18"/>
      <c r="B110" s="4"/>
      <c r="C110" s="4"/>
      <c r="D110" s="4"/>
      <c r="E110" s="4"/>
      <c r="F110" s="4"/>
      <c r="G110" s="4"/>
      <c r="H110" s="4" t="str">
        <f aca="false">IF(OR(D110="",E110=""),"",IF(E110&lt;13,"偏生殖(花距短)",IF(E110&gt;18,"偏營養(花距長)","平衡")))</f>
        <v/>
      </c>
      <c r="I110" s="4"/>
    </row>
    <row r="111" customFormat="false" ht="15" hidden="false" customHeight="false" outlineLevel="0" collapsed="false">
      <c r="A111" s="18"/>
      <c r="B111" s="4"/>
      <c r="C111" s="4"/>
      <c r="D111" s="4"/>
      <c r="E111" s="4"/>
      <c r="F111" s="4"/>
      <c r="G111" s="4"/>
      <c r="H111" s="4" t="str">
        <f aca="false">IF(OR(D111="",E111=""),"",IF(E111&lt;13,"偏生殖(花距短)",IF(E111&gt;18,"偏營養(花距長)","平衡")))</f>
        <v/>
      </c>
      <c r="I111" s="4"/>
    </row>
    <row r="112" customFormat="false" ht="15" hidden="false" customHeight="false" outlineLevel="0" collapsed="false">
      <c r="A112" s="18"/>
      <c r="B112" s="4"/>
      <c r="C112" s="4"/>
      <c r="D112" s="4"/>
      <c r="E112" s="4"/>
      <c r="F112" s="4"/>
      <c r="G112" s="4"/>
      <c r="H112" s="4" t="str">
        <f aca="false">IF(OR(D112="",E112=""),"",IF(E112&lt;13,"偏生殖(花距短)",IF(E112&gt;18,"偏營養(花距長)","平衡")))</f>
        <v/>
      </c>
      <c r="I112" s="4"/>
    </row>
    <row r="113" customFormat="false" ht="15" hidden="false" customHeight="false" outlineLevel="0" collapsed="false">
      <c r="A113" s="18"/>
      <c r="B113" s="4"/>
      <c r="C113" s="4"/>
      <c r="D113" s="4"/>
      <c r="E113" s="4"/>
      <c r="F113" s="4"/>
      <c r="G113" s="4"/>
      <c r="H113" s="4" t="str">
        <f aca="false">IF(OR(D113="",E113=""),"",IF(E113&lt;13,"偏生殖(花距短)",IF(E113&gt;18,"偏營養(花距長)","平衡")))</f>
        <v/>
      </c>
      <c r="I113" s="4"/>
    </row>
    <row r="114" customFormat="false" ht="15" hidden="false" customHeight="false" outlineLevel="0" collapsed="false">
      <c r="A114" s="18"/>
      <c r="B114" s="4"/>
      <c r="C114" s="4"/>
      <c r="D114" s="4"/>
      <c r="E114" s="4"/>
      <c r="F114" s="4"/>
      <c r="G114" s="4"/>
      <c r="H114" s="4" t="str">
        <f aca="false">IF(OR(D114="",E114=""),"",IF(E114&lt;13,"偏生殖(花距短)",IF(E114&gt;18,"偏營養(花距長)","平衡")))</f>
        <v/>
      </c>
      <c r="I114" s="4"/>
    </row>
    <row r="115" customFormat="false" ht="15" hidden="false" customHeight="false" outlineLevel="0" collapsed="false">
      <c r="A115" s="18"/>
      <c r="B115" s="4"/>
      <c r="C115" s="4"/>
      <c r="D115" s="4"/>
      <c r="E115" s="4"/>
      <c r="F115" s="4"/>
      <c r="G115" s="4"/>
      <c r="H115" s="4" t="str">
        <f aca="false">IF(OR(D115="",E115=""),"",IF(E115&lt;13,"偏生殖(花距短)",IF(E115&gt;18,"偏營養(花距長)","平衡")))</f>
        <v/>
      </c>
      <c r="I115" s="4"/>
    </row>
    <row r="116" customFormat="false" ht="15" hidden="false" customHeight="false" outlineLevel="0" collapsed="false">
      <c r="A116" s="18"/>
      <c r="B116" s="4"/>
      <c r="C116" s="4"/>
      <c r="D116" s="4"/>
      <c r="E116" s="4"/>
      <c r="F116" s="4"/>
      <c r="G116" s="4"/>
      <c r="H116" s="4" t="str">
        <f aca="false">IF(OR(D116="",E116=""),"",IF(E116&lt;13,"偏生殖(花距短)",IF(E116&gt;18,"偏營養(花距長)","平衡")))</f>
        <v/>
      </c>
      <c r="I116" s="4"/>
    </row>
    <row r="117" customFormat="false" ht="15" hidden="false" customHeight="false" outlineLevel="0" collapsed="false">
      <c r="A117" s="18"/>
      <c r="B117" s="4"/>
      <c r="C117" s="4"/>
      <c r="D117" s="4"/>
      <c r="E117" s="4"/>
      <c r="F117" s="4"/>
      <c r="G117" s="4"/>
      <c r="H117" s="4" t="str">
        <f aca="false">IF(OR(D117="",E117=""),"",IF(E117&lt;13,"偏生殖(花距短)",IF(E117&gt;18,"偏營養(花距長)","平衡")))</f>
        <v/>
      </c>
      <c r="I117" s="4"/>
    </row>
    <row r="118" customFormat="false" ht="15" hidden="false" customHeight="false" outlineLevel="0" collapsed="false">
      <c r="A118" s="18"/>
      <c r="B118" s="4"/>
      <c r="C118" s="4"/>
      <c r="D118" s="4"/>
      <c r="E118" s="4"/>
      <c r="F118" s="4"/>
      <c r="G118" s="4"/>
      <c r="H118" s="4" t="str">
        <f aca="false">IF(OR(D118="",E118=""),"",IF(E118&lt;13,"偏生殖(花距短)",IF(E118&gt;18,"偏營養(花距長)","平衡")))</f>
        <v/>
      </c>
      <c r="I118" s="4"/>
    </row>
    <row r="119" customFormat="false" ht="15" hidden="false" customHeight="false" outlineLevel="0" collapsed="false">
      <c r="A119" s="18"/>
      <c r="B119" s="4"/>
      <c r="C119" s="4"/>
      <c r="D119" s="4"/>
      <c r="E119" s="4"/>
      <c r="F119" s="4"/>
      <c r="G119" s="4"/>
      <c r="H119" s="4" t="str">
        <f aca="false">IF(OR(D119="",E119=""),"",IF(E119&lt;13,"偏生殖(花距短)",IF(E119&gt;18,"偏營養(花距長)","平衡")))</f>
        <v/>
      </c>
      <c r="I119" s="4"/>
    </row>
    <row r="120" customFormat="false" ht="15" hidden="false" customHeight="false" outlineLevel="0" collapsed="false">
      <c r="A120" s="18"/>
      <c r="B120" s="4"/>
      <c r="C120" s="4"/>
      <c r="D120" s="4"/>
      <c r="E120" s="4"/>
      <c r="F120" s="4"/>
      <c r="G120" s="4"/>
      <c r="H120" s="4" t="str">
        <f aca="false">IF(OR(D120="",E120=""),"",IF(E120&lt;13,"偏生殖(花距短)",IF(E120&gt;18,"偏營養(花距長)","平衡")))</f>
        <v/>
      </c>
      <c r="I120" s="4"/>
    </row>
    <row r="121" customFormat="false" ht="15" hidden="false" customHeight="false" outlineLevel="0" collapsed="false">
      <c r="A121" s="18"/>
      <c r="B121" s="4"/>
      <c r="C121" s="4"/>
      <c r="D121" s="4"/>
      <c r="E121" s="4"/>
      <c r="F121" s="4"/>
      <c r="G121" s="4"/>
      <c r="H121" s="4" t="str">
        <f aca="false">IF(OR(D121="",E121=""),"",IF(E121&lt;13,"偏生殖(花距短)",IF(E121&gt;18,"偏營養(花距長)","平衡")))</f>
        <v/>
      </c>
      <c r="I121" s="4"/>
    </row>
    <row r="122" customFormat="false" ht="15" hidden="false" customHeight="false" outlineLevel="0" collapsed="false">
      <c r="A122" s="18"/>
      <c r="B122" s="4"/>
      <c r="C122" s="4"/>
      <c r="D122" s="4"/>
      <c r="E122" s="4"/>
      <c r="F122" s="4"/>
      <c r="G122" s="4"/>
      <c r="H122" s="4" t="str">
        <f aca="false">IF(OR(D122="",E122=""),"",IF(E122&lt;13,"偏生殖(花距短)",IF(E122&gt;18,"偏營養(花距長)","平衡")))</f>
        <v/>
      </c>
      <c r="I122" s="4"/>
    </row>
    <row r="123" customFormat="false" ht="15" hidden="false" customHeight="false" outlineLevel="0" collapsed="false">
      <c r="A123" s="18"/>
      <c r="B123" s="4"/>
      <c r="C123" s="4"/>
      <c r="D123" s="4"/>
      <c r="E123" s="4"/>
      <c r="F123" s="4"/>
      <c r="G123" s="4"/>
      <c r="H123" s="4" t="str">
        <f aca="false">IF(OR(D123="",E123=""),"",IF(E123&lt;13,"偏生殖(花距短)",IF(E123&gt;18,"偏營養(花距長)","平衡")))</f>
        <v/>
      </c>
      <c r="I123" s="4"/>
    </row>
  </sheetData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0"/>
    <col collapsed="false" customWidth="true" hidden="false" outlineLevel="0" max="7" min="6" style="0" width="9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10"/>
  </cols>
  <sheetData>
    <row r="1" customFormat="false" ht="19.7" hidden="false" customHeight="false" outlineLevel="0" collapsed="false">
      <c r="A1" s="1" t="s">
        <v>699</v>
      </c>
    </row>
    <row r="2" customFormat="false" ht="15" hidden="false" customHeight="false" outlineLevel="0" collapsed="false">
      <c r="A2" s="2" t="s">
        <v>644</v>
      </c>
    </row>
    <row r="3" customFormat="false" ht="30" hidden="false" customHeight="true" outlineLevel="0" collapsed="false">
      <c r="A3" s="7" t="s">
        <v>700</v>
      </c>
      <c r="B3" s="7" t="s">
        <v>645</v>
      </c>
      <c r="C3" s="7" t="s">
        <v>701</v>
      </c>
      <c r="D3" s="7" t="s">
        <v>702</v>
      </c>
      <c r="E3" s="7" t="s">
        <v>703</v>
      </c>
      <c r="F3" s="7" t="s">
        <v>704</v>
      </c>
      <c r="G3" s="7" t="s">
        <v>705</v>
      </c>
      <c r="H3" s="7" t="s">
        <v>706</v>
      </c>
      <c r="I3" s="7" t="s">
        <v>707</v>
      </c>
      <c r="J3" s="7" t="s">
        <v>708</v>
      </c>
      <c r="K3" s="7" t="s">
        <v>709</v>
      </c>
      <c r="L3" s="7" t="s">
        <v>710</v>
      </c>
    </row>
    <row r="4" customFormat="false" ht="15" hidden="false" customHeight="false" outlineLevel="0" collapsed="false">
      <c r="A4" s="42" t="n">
        <v>46387</v>
      </c>
      <c r="B4" s="43" t="s">
        <v>651</v>
      </c>
      <c r="C4" s="44" t="s">
        <v>711</v>
      </c>
      <c r="D4" s="43" t="n">
        <v>85</v>
      </c>
      <c r="E4" s="43" t="n">
        <v>8.2</v>
      </c>
      <c r="F4" s="43" t="n">
        <v>76</v>
      </c>
      <c r="G4" s="43" t="n">
        <v>6</v>
      </c>
      <c r="H4" s="43" t="n">
        <v>3</v>
      </c>
      <c r="I4" s="47" t="n">
        <f aca="false">IF(OR(D4="",D4=0),"",F4/D4)</f>
        <v>0.894117647058824</v>
      </c>
      <c r="J4" s="43" t="n">
        <v>11</v>
      </c>
      <c r="K4" s="44" t="s">
        <v>712</v>
      </c>
      <c r="L4" s="43" t="n">
        <v>82</v>
      </c>
    </row>
    <row r="5" customFormat="false" ht="15" hidden="false" customHeight="false" outlineLevel="0" collapsed="false">
      <c r="A5" s="18"/>
      <c r="B5" s="4"/>
      <c r="C5" s="4"/>
      <c r="D5" s="4"/>
      <c r="E5" s="4"/>
      <c r="F5" s="4"/>
      <c r="G5" s="4"/>
      <c r="H5" s="4"/>
      <c r="I5" s="21" t="str">
        <f aca="false">IF(OR(D5="",D5=0),"",F5/D5)</f>
        <v/>
      </c>
      <c r="J5" s="4"/>
      <c r="K5" s="4"/>
      <c r="L5" s="4"/>
    </row>
    <row r="6" customFormat="false" ht="15" hidden="false" customHeight="false" outlineLevel="0" collapsed="false">
      <c r="A6" s="18"/>
      <c r="B6" s="4"/>
      <c r="C6" s="4"/>
      <c r="D6" s="4"/>
      <c r="E6" s="4"/>
      <c r="F6" s="4"/>
      <c r="G6" s="4"/>
      <c r="H6" s="4"/>
      <c r="I6" s="21" t="str">
        <f aca="false">IF(OR(D6="",D6=0),"",F6/D6)</f>
        <v/>
      </c>
      <c r="J6" s="4"/>
      <c r="K6" s="4"/>
      <c r="L6" s="4"/>
    </row>
    <row r="7" customFormat="false" ht="15" hidden="false" customHeight="false" outlineLevel="0" collapsed="false">
      <c r="A7" s="18"/>
      <c r="B7" s="4"/>
      <c r="C7" s="4"/>
      <c r="D7" s="4"/>
      <c r="E7" s="4"/>
      <c r="F7" s="4"/>
      <c r="G7" s="4"/>
      <c r="H7" s="4"/>
      <c r="I7" s="21" t="str">
        <f aca="false">IF(OR(D7="",D7=0),"",F7/D7)</f>
        <v/>
      </c>
      <c r="J7" s="4"/>
      <c r="K7" s="4"/>
      <c r="L7" s="4"/>
    </row>
    <row r="8" customFormat="false" ht="15" hidden="false" customHeight="false" outlineLevel="0" collapsed="false">
      <c r="A8" s="18"/>
      <c r="B8" s="4"/>
      <c r="C8" s="4"/>
      <c r="D8" s="4"/>
      <c r="E8" s="4"/>
      <c r="F8" s="4"/>
      <c r="G8" s="4"/>
      <c r="H8" s="4"/>
      <c r="I8" s="21" t="str">
        <f aca="false">IF(OR(D8="",D8=0),"",F8/D8)</f>
        <v/>
      </c>
      <c r="J8" s="4"/>
      <c r="K8" s="4"/>
      <c r="L8" s="4"/>
    </row>
    <row r="9" customFormat="false" ht="15" hidden="false" customHeight="false" outlineLevel="0" collapsed="false">
      <c r="A9" s="18"/>
      <c r="B9" s="4"/>
      <c r="C9" s="4"/>
      <c r="D9" s="4"/>
      <c r="E9" s="4"/>
      <c r="F9" s="4"/>
      <c r="G9" s="4"/>
      <c r="H9" s="4"/>
      <c r="I9" s="21" t="str">
        <f aca="false">IF(OR(D9="",D9=0),"",F9/D9)</f>
        <v/>
      </c>
      <c r="J9" s="4"/>
      <c r="K9" s="4"/>
      <c r="L9" s="4"/>
    </row>
    <row r="10" customFormat="false" ht="15" hidden="false" customHeight="false" outlineLevel="0" collapsed="false">
      <c r="A10" s="18"/>
      <c r="B10" s="4"/>
      <c r="C10" s="4"/>
      <c r="D10" s="4"/>
      <c r="E10" s="4"/>
      <c r="F10" s="4"/>
      <c r="G10" s="4"/>
      <c r="H10" s="4"/>
      <c r="I10" s="21" t="str">
        <f aca="false">IF(OR(D10="",D10=0),"",F10/D10)</f>
        <v/>
      </c>
      <c r="J10" s="4"/>
      <c r="K10" s="4"/>
      <c r="L10" s="4"/>
    </row>
    <row r="11" customFormat="false" ht="15" hidden="false" customHeight="false" outlineLevel="0" collapsed="false">
      <c r="A11" s="18"/>
      <c r="B11" s="4"/>
      <c r="C11" s="4"/>
      <c r="D11" s="4"/>
      <c r="E11" s="4"/>
      <c r="F11" s="4"/>
      <c r="G11" s="4"/>
      <c r="H11" s="4"/>
      <c r="I11" s="21" t="str">
        <f aca="false">IF(OR(D11="",D11=0),"",F11/D11)</f>
        <v/>
      </c>
      <c r="J11" s="4"/>
      <c r="K11" s="4"/>
      <c r="L11" s="4"/>
    </row>
    <row r="12" customFormat="false" ht="15" hidden="false" customHeight="false" outlineLevel="0" collapsed="false">
      <c r="A12" s="18"/>
      <c r="B12" s="4"/>
      <c r="C12" s="4"/>
      <c r="D12" s="4"/>
      <c r="E12" s="4"/>
      <c r="F12" s="4"/>
      <c r="G12" s="4"/>
      <c r="H12" s="4"/>
      <c r="I12" s="21" t="str">
        <f aca="false">IF(OR(D12="",D12=0),"",F12/D12)</f>
        <v/>
      </c>
      <c r="J12" s="4"/>
      <c r="K12" s="4"/>
      <c r="L12" s="4"/>
    </row>
    <row r="13" customFormat="false" ht="15" hidden="false" customHeight="false" outlineLevel="0" collapsed="false">
      <c r="A13" s="18"/>
      <c r="B13" s="4"/>
      <c r="C13" s="4"/>
      <c r="D13" s="4"/>
      <c r="E13" s="4"/>
      <c r="F13" s="4"/>
      <c r="G13" s="4"/>
      <c r="H13" s="4"/>
      <c r="I13" s="21" t="str">
        <f aca="false">IF(OR(D13="",D13=0),"",F13/D13)</f>
        <v/>
      </c>
      <c r="J13" s="4"/>
      <c r="K13" s="4"/>
      <c r="L13" s="4"/>
    </row>
    <row r="14" customFormat="false" ht="15" hidden="false" customHeight="false" outlineLevel="0" collapsed="false">
      <c r="A14" s="18"/>
      <c r="B14" s="4"/>
      <c r="C14" s="4"/>
      <c r="D14" s="4"/>
      <c r="E14" s="4"/>
      <c r="F14" s="4"/>
      <c r="G14" s="4"/>
      <c r="H14" s="4"/>
      <c r="I14" s="21" t="str">
        <f aca="false">IF(OR(D14="",D14=0),"",F14/D14)</f>
        <v/>
      </c>
      <c r="J14" s="4"/>
      <c r="K14" s="4"/>
      <c r="L14" s="4"/>
    </row>
    <row r="15" customFormat="false" ht="15" hidden="false" customHeight="false" outlineLevel="0" collapsed="false">
      <c r="A15" s="18"/>
      <c r="B15" s="4"/>
      <c r="C15" s="4"/>
      <c r="D15" s="4"/>
      <c r="E15" s="4"/>
      <c r="F15" s="4"/>
      <c r="G15" s="4"/>
      <c r="H15" s="4"/>
      <c r="I15" s="21" t="str">
        <f aca="false">IF(OR(D15="",D15=0),"",F15/D15)</f>
        <v/>
      </c>
      <c r="J15" s="4"/>
      <c r="K15" s="4"/>
      <c r="L15" s="4"/>
    </row>
    <row r="16" customFormat="false" ht="15" hidden="false" customHeight="false" outlineLevel="0" collapsed="false">
      <c r="A16" s="18"/>
      <c r="B16" s="4"/>
      <c r="C16" s="4"/>
      <c r="D16" s="4"/>
      <c r="E16" s="4"/>
      <c r="F16" s="4"/>
      <c r="G16" s="4"/>
      <c r="H16" s="4"/>
      <c r="I16" s="21" t="str">
        <f aca="false">IF(OR(D16="",D16=0),"",F16/D16)</f>
        <v/>
      </c>
      <c r="J16" s="4"/>
      <c r="K16" s="4"/>
      <c r="L16" s="4"/>
    </row>
    <row r="17" customFormat="false" ht="15" hidden="false" customHeight="false" outlineLevel="0" collapsed="false">
      <c r="A17" s="18"/>
      <c r="B17" s="4"/>
      <c r="C17" s="4"/>
      <c r="D17" s="4"/>
      <c r="E17" s="4"/>
      <c r="F17" s="4"/>
      <c r="G17" s="4"/>
      <c r="H17" s="4"/>
      <c r="I17" s="21" t="str">
        <f aca="false">IF(OR(D17="",D17=0),"",F17/D17)</f>
        <v/>
      </c>
      <c r="J17" s="4"/>
      <c r="K17" s="4"/>
      <c r="L17" s="4"/>
    </row>
    <row r="18" customFormat="false" ht="15" hidden="false" customHeight="false" outlineLevel="0" collapsed="false">
      <c r="A18" s="18"/>
      <c r="B18" s="4"/>
      <c r="C18" s="4"/>
      <c r="D18" s="4"/>
      <c r="E18" s="4"/>
      <c r="F18" s="4"/>
      <c r="G18" s="4"/>
      <c r="H18" s="4"/>
      <c r="I18" s="21" t="str">
        <f aca="false">IF(OR(D18="",D18=0),"",F18/D18)</f>
        <v/>
      </c>
      <c r="J18" s="4"/>
      <c r="K18" s="4"/>
      <c r="L18" s="4"/>
    </row>
    <row r="19" customFormat="false" ht="15" hidden="false" customHeight="false" outlineLevel="0" collapsed="false">
      <c r="A19" s="18"/>
      <c r="B19" s="4"/>
      <c r="C19" s="4"/>
      <c r="D19" s="4"/>
      <c r="E19" s="4"/>
      <c r="F19" s="4"/>
      <c r="G19" s="4"/>
      <c r="H19" s="4"/>
      <c r="I19" s="21" t="str">
        <f aca="false">IF(OR(D19="",D19=0),"",F19/D19)</f>
        <v/>
      </c>
      <c r="J19" s="4"/>
      <c r="K19" s="4"/>
      <c r="L19" s="4"/>
    </row>
    <row r="20" customFormat="false" ht="15" hidden="false" customHeight="false" outlineLevel="0" collapsed="false">
      <c r="A20" s="18"/>
      <c r="B20" s="4"/>
      <c r="C20" s="4"/>
      <c r="D20" s="4"/>
      <c r="E20" s="4"/>
      <c r="F20" s="4"/>
      <c r="G20" s="4"/>
      <c r="H20" s="4"/>
      <c r="I20" s="21" t="str">
        <f aca="false">IF(OR(D20="",D20=0),"",F20/D20)</f>
        <v/>
      </c>
      <c r="J20" s="4"/>
      <c r="K20" s="4"/>
      <c r="L20" s="4"/>
    </row>
    <row r="21" customFormat="false" ht="15" hidden="false" customHeight="false" outlineLevel="0" collapsed="false">
      <c r="A21" s="18"/>
      <c r="B21" s="4"/>
      <c r="C21" s="4"/>
      <c r="D21" s="4"/>
      <c r="E21" s="4"/>
      <c r="F21" s="4"/>
      <c r="G21" s="4"/>
      <c r="H21" s="4"/>
      <c r="I21" s="21" t="str">
        <f aca="false">IF(OR(D21="",D21=0),"",F21/D21)</f>
        <v/>
      </c>
      <c r="J21" s="4"/>
      <c r="K21" s="4"/>
      <c r="L21" s="4"/>
    </row>
    <row r="22" customFormat="false" ht="15" hidden="false" customHeight="false" outlineLevel="0" collapsed="false">
      <c r="A22" s="18"/>
      <c r="B22" s="4"/>
      <c r="C22" s="4"/>
      <c r="D22" s="4"/>
      <c r="E22" s="4"/>
      <c r="F22" s="4"/>
      <c r="G22" s="4"/>
      <c r="H22" s="4"/>
      <c r="I22" s="21" t="str">
        <f aca="false">IF(OR(D22="",D22=0),"",F22/D22)</f>
        <v/>
      </c>
      <c r="J22" s="4"/>
      <c r="K22" s="4"/>
      <c r="L22" s="4"/>
    </row>
    <row r="23" customFormat="false" ht="15" hidden="false" customHeight="false" outlineLevel="0" collapsed="false">
      <c r="A23" s="18"/>
      <c r="B23" s="4"/>
      <c r="C23" s="4"/>
      <c r="D23" s="4"/>
      <c r="E23" s="4"/>
      <c r="F23" s="4"/>
      <c r="G23" s="4"/>
      <c r="H23" s="4"/>
      <c r="I23" s="21" t="str">
        <f aca="false">IF(OR(D23="",D23=0),"",F23/D23)</f>
        <v/>
      </c>
      <c r="J23" s="4"/>
      <c r="K23" s="4"/>
      <c r="L23" s="4"/>
    </row>
    <row r="24" customFormat="false" ht="15" hidden="false" customHeight="false" outlineLevel="0" collapsed="false">
      <c r="A24" s="18"/>
      <c r="B24" s="4"/>
      <c r="C24" s="4"/>
      <c r="D24" s="4"/>
      <c r="E24" s="4"/>
      <c r="F24" s="4"/>
      <c r="G24" s="4"/>
      <c r="H24" s="4"/>
      <c r="I24" s="21" t="str">
        <f aca="false">IF(OR(D24="",D24=0),"",F24/D24)</f>
        <v/>
      </c>
      <c r="J24" s="4"/>
      <c r="K24" s="4"/>
      <c r="L24" s="4"/>
    </row>
    <row r="25" customFormat="false" ht="15" hidden="false" customHeight="false" outlineLevel="0" collapsed="false">
      <c r="A25" s="18"/>
      <c r="B25" s="4"/>
      <c r="C25" s="4"/>
      <c r="D25" s="4"/>
      <c r="E25" s="4"/>
      <c r="F25" s="4"/>
      <c r="G25" s="4"/>
      <c r="H25" s="4"/>
      <c r="I25" s="21" t="str">
        <f aca="false">IF(OR(D25="",D25=0),"",F25/D25)</f>
        <v/>
      </c>
      <c r="J25" s="4"/>
      <c r="K25" s="4"/>
      <c r="L25" s="4"/>
    </row>
    <row r="26" customFormat="false" ht="15" hidden="false" customHeight="false" outlineLevel="0" collapsed="false">
      <c r="A26" s="18"/>
      <c r="B26" s="4"/>
      <c r="C26" s="4"/>
      <c r="D26" s="4"/>
      <c r="E26" s="4"/>
      <c r="F26" s="4"/>
      <c r="G26" s="4"/>
      <c r="H26" s="4"/>
      <c r="I26" s="21" t="str">
        <f aca="false">IF(OR(D26="",D26=0),"",F26/D26)</f>
        <v/>
      </c>
      <c r="J26" s="4"/>
      <c r="K26" s="4"/>
      <c r="L26" s="4"/>
    </row>
    <row r="27" customFormat="false" ht="15" hidden="false" customHeight="false" outlineLevel="0" collapsed="false">
      <c r="A27" s="18"/>
      <c r="B27" s="4"/>
      <c r="C27" s="4"/>
      <c r="D27" s="4"/>
      <c r="E27" s="4"/>
      <c r="F27" s="4"/>
      <c r="G27" s="4"/>
      <c r="H27" s="4"/>
      <c r="I27" s="21" t="str">
        <f aca="false">IF(OR(D27="",D27=0),"",F27/D27)</f>
        <v/>
      </c>
      <c r="J27" s="4"/>
      <c r="K27" s="4"/>
      <c r="L27" s="4"/>
    </row>
    <row r="28" customFormat="false" ht="15" hidden="false" customHeight="false" outlineLevel="0" collapsed="false">
      <c r="A28" s="18"/>
      <c r="B28" s="4"/>
      <c r="C28" s="4"/>
      <c r="D28" s="4"/>
      <c r="E28" s="4"/>
      <c r="F28" s="4"/>
      <c r="G28" s="4"/>
      <c r="H28" s="4"/>
      <c r="I28" s="21" t="str">
        <f aca="false">IF(OR(D28="",D28=0),"",F28/D28)</f>
        <v/>
      </c>
      <c r="J28" s="4"/>
      <c r="K28" s="4"/>
      <c r="L28" s="4"/>
    </row>
    <row r="29" customFormat="false" ht="15" hidden="false" customHeight="false" outlineLevel="0" collapsed="false">
      <c r="A29" s="18"/>
      <c r="B29" s="4"/>
      <c r="C29" s="4"/>
      <c r="D29" s="4"/>
      <c r="E29" s="4"/>
      <c r="F29" s="4"/>
      <c r="G29" s="4"/>
      <c r="H29" s="4"/>
      <c r="I29" s="21" t="str">
        <f aca="false">IF(OR(D29="",D29=0),"",F29/D29)</f>
        <v/>
      </c>
      <c r="J29" s="4"/>
      <c r="K29" s="4"/>
      <c r="L29" s="4"/>
    </row>
    <row r="30" customFormat="false" ht="15" hidden="false" customHeight="false" outlineLevel="0" collapsed="false">
      <c r="A30" s="18"/>
      <c r="B30" s="4"/>
      <c r="C30" s="4"/>
      <c r="D30" s="4"/>
      <c r="E30" s="4"/>
      <c r="F30" s="4"/>
      <c r="G30" s="4"/>
      <c r="H30" s="4"/>
      <c r="I30" s="21" t="str">
        <f aca="false">IF(OR(D30="",D30=0),"",F30/D30)</f>
        <v/>
      </c>
      <c r="J30" s="4"/>
      <c r="K30" s="4"/>
      <c r="L30" s="4"/>
    </row>
    <row r="31" customFormat="false" ht="15" hidden="false" customHeight="false" outlineLevel="0" collapsed="false">
      <c r="A31" s="18"/>
      <c r="B31" s="4"/>
      <c r="C31" s="4"/>
      <c r="D31" s="4"/>
      <c r="E31" s="4"/>
      <c r="F31" s="4"/>
      <c r="G31" s="4"/>
      <c r="H31" s="4"/>
      <c r="I31" s="21" t="str">
        <f aca="false">IF(OR(D31="",D31=0),"",F31/D31)</f>
        <v/>
      </c>
      <c r="J31" s="4"/>
      <c r="K31" s="4"/>
      <c r="L31" s="4"/>
    </row>
    <row r="32" customFormat="false" ht="15" hidden="false" customHeight="false" outlineLevel="0" collapsed="false">
      <c r="A32" s="18"/>
      <c r="B32" s="4"/>
      <c r="C32" s="4"/>
      <c r="D32" s="4"/>
      <c r="E32" s="4"/>
      <c r="F32" s="4"/>
      <c r="G32" s="4"/>
      <c r="H32" s="4"/>
      <c r="I32" s="21" t="str">
        <f aca="false">IF(OR(D32="",D32=0),"",F32/D32)</f>
        <v/>
      </c>
      <c r="J32" s="4"/>
      <c r="K32" s="4"/>
      <c r="L32" s="4"/>
    </row>
    <row r="33" customFormat="false" ht="15" hidden="false" customHeight="false" outlineLevel="0" collapsed="false">
      <c r="A33" s="18"/>
      <c r="B33" s="4"/>
      <c r="C33" s="4"/>
      <c r="D33" s="4"/>
      <c r="E33" s="4"/>
      <c r="F33" s="4"/>
      <c r="G33" s="4"/>
      <c r="H33" s="4"/>
      <c r="I33" s="21" t="str">
        <f aca="false">IF(OR(D33="",D33=0),"",F33/D33)</f>
        <v/>
      </c>
      <c r="J33" s="4"/>
      <c r="K33" s="4"/>
      <c r="L33" s="4"/>
    </row>
    <row r="34" customFormat="false" ht="15" hidden="false" customHeight="false" outlineLevel="0" collapsed="false">
      <c r="A34" s="18"/>
      <c r="B34" s="4"/>
      <c r="C34" s="4"/>
      <c r="D34" s="4"/>
      <c r="E34" s="4"/>
      <c r="F34" s="4"/>
      <c r="G34" s="4"/>
      <c r="H34" s="4"/>
      <c r="I34" s="21" t="str">
        <f aca="false">IF(OR(D34="",D34=0),"",F34/D34)</f>
        <v/>
      </c>
      <c r="J34" s="4"/>
      <c r="K34" s="4"/>
      <c r="L34" s="4"/>
    </row>
    <row r="35" customFormat="false" ht="15" hidden="false" customHeight="false" outlineLevel="0" collapsed="false">
      <c r="A35" s="18"/>
      <c r="B35" s="4"/>
      <c r="C35" s="4"/>
      <c r="D35" s="4"/>
      <c r="E35" s="4"/>
      <c r="F35" s="4"/>
      <c r="G35" s="4"/>
      <c r="H35" s="4"/>
      <c r="I35" s="21" t="str">
        <f aca="false">IF(OR(D35="",D35=0),"",F35/D35)</f>
        <v/>
      </c>
      <c r="J35" s="4"/>
      <c r="K35" s="4"/>
      <c r="L35" s="4"/>
    </row>
    <row r="36" customFormat="false" ht="15" hidden="false" customHeight="false" outlineLevel="0" collapsed="false">
      <c r="A36" s="18"/>
      <c r="B36" s="4"/>
      <c r="C36" s="4"/>
      <c r="D36" s="4"/>
      <c r="E36" s="4"/>
      <c r="F36" s="4"/>
      <c r="G36" s="4"/>
      <c r="H36" s="4"/>
      <c r="I36" s="21" t="str">
        <f aca="false">IF(OR(D36="",D36=0),"",F36/D36)</f>
        <v/>
      </c>
      <c r="J36" s="4"/>
      <c r="K36" s="4"/>
      <c r="L36" s="4"/>
    </row>
    <row r="37" customFormat="false" ht="15" hidden="false" customHeight="false" outlineLevel="0" collapsed="false">
      <c r="A37" s="18"/>
      <c r="B37" s="4"/>
      <c r="C37" s="4"/>
      <c r="D37" s="4"/>
      <c r="E37" s="4"/>
      <c r="F37" s="4"/>
      <c r="G37" s="4"/>
      <c r="H37" s="4"/>
      <c r="I37" s="21" t="str">
        <f aca="false">IF(OR(D37="",D37=0),"",F37/D37)</f>
        <v/>
      </c>
      <c r="J37" s="4"/>
      <c r="K37" s="4"/>
      <c r="L37" s="4"/>
    </row>
    <row r="38" customFormat="false" ht="15" hidden="false" customHeight="false" outlineLevel="0" collapsed="false">
      <c r="A38" s="18"/>
      <c r="B38" s="4"/>
      <c r="C38" s="4"/>
      <c r="D38" s="4"/>
      <c r="E38" s="4"/>
      <c r="F38" s="4"/>
      <c r="G38" s="4"/>
      <c r="H38" s="4"/>
      <c r="I38" s="21" t="str">
        <f aca="false">IF(OR(D38="",D38=0),"",F38/D38)</f>
        <v/>
      </c>
      <c r="J38" s="4"/>
      <c r="K38" s="4"/>
      <c r="L38" s="4"/>
    </row>
    <row r="39" customFormat="false" ht="15" hidden="false" customHeight="false" outlineLevel="0" collapsed="false">
      <c r="A39" s="18"/>
      <c r="B39" s="4"/>
      <c r="C39" s="4"/>
      <c r="D39" s="4"/>
      <c r="E39" s="4"/>
      <c r="F39" s="4"/>
      <c r="G39" s="4"/>
      <c r="H39" s="4"/>
      <c r="I39" s="21" t="str">
        <f aca="false">IF(OR(D39="",D39=0),"",F39/D39)</f>
        <v/>
      </c>
      <c r="J39" s="4"/>
      <c r="K39" s="4"/>
      <c r="L39" s="4"/>
    </row>
    <row r="40" customFormat="false" ht="15" hidden="false" customHeight="false" outlineLevel="0" collapsed="false">
      <c r="A40" s="18"/>
      <c r="B40" s="4"/>
      <c r="C40" s="4"/>
      <c r="D40" s="4"/>
      <c r="E40" s="4"/>
      <c r="F40" s="4"/>
      <c r="G40" s="4"/>
      <c r="H40" s="4"/>
      <c r="I40" s="21" t="str">
        <f aca="false">IF(OR(D40="",D40=0),"",F40/D40)</f>
        <v/>
      </c>
      <c r="J40" s="4"/>
      <c r="K40" s="4"/>
      <c r="L40" s="4"/>
    </row>
    <row r="41" customFormat="false" ht="15" hidden="false" customHeight="false" outlineLevel="0" collapsed="false">
      <c r="A41" s="18"/>
      <c r="B41" s="4"/>
      <c r="C41" s="4"/>
      <c r="D41" s="4"/>
      <c r="E41" s="4"/>
      <c r="F41" s="4"/>
      <c r="G41" s="4"/>
      <c r="H41" s="4"/>
      <c r="I41" s="21" t="str">
        <f aca="false">IF(OR(D41="",D41=0),"",F41/D41)</f>
        <v/>
      </c>
      <c r="J41" s="4"/>
      <c r="K41" s="4"/>
      <c r="L41" s="4"/>
    </row>
    <row r="42" customFormat="false" ht="15" hidden="false" customHeight="false" outlineLevel="0" collapsed="false">
      <c r="A42" s="18"/>
      <c r="B42" s="4"/>
      <c r="C42" s="4"/>
      <c r="D42" s="4"/>
      <c r="E42" s="4"/>
      <c r="F42" s="4"/>
      <c r="G42" s="4"/>
      <c r="H42" s="4"/>
      <c r="I42" s="21" t="str">
        <f aca="false">IF(OR(D42="",D42=0),"",F42/D42)</f>
        <v/>
      </c>
      <c r="J42" s="4"/>
      <c r="K42" s="4"/>
      <c r="L42" s="4"/>
    </row>
    <row r="43" customFormat="false" ht="15" hidden="false" customHeight="false" outlineLevel="0" collapsed="false">
      <c r="A43" s="18"/>
      <c r="B43" s="4"/>
      <c r="C43" s="4"/>
      <c r="D43" s="4"/>
      <c r="E43" s="4"/>
      <c r="F43" s="4"/>
      <c r="G43" s="4"/>
      <c r="H43" s="4"/>
      <c r="I43" s="21" t="str">
        <f aca="false">IF(OR(D43="",D43=0),"",F43/D43)</f>
        <v/>
      </c>
      <c r="J43" s="4"/>
      <c r="K43" s="4"/>
      <c r="L43" s="4"/>
    </row>
    <row r="44" customFormat="false" ht="15" hidden="false" customHeight="false" outlineLevel="0" collapsed="false">
      <c r="A44" s="18"/>
      <c r="B44" s="4"/>
      <c r="C44" s="4"/>
      <c r="D44" s="4"/>
      <c r="E44" s="4"/>
      <c r="F44" s="4"/>
      <c r="G44" s="4"/>
      <c r="H44" s="4"/>
      <c r="I44" s="21" t="str">
        <f aca="false">IF(OR(D44="",D44=0),"",F44/D44)</f>
        <v/>
      </c>
      <c r="J44" s="4"/>
      <c r="K44" s="4"/>
      <c r="L44" s="4"/>
    </row>
    <row r="45" customFormat="false" ht="15" hidden="false" customHeight="false" outlineLevel="0" collapsed="false">
      <c r="A45" s="18"/>
      <c r="B45" s="4"/>
      <c r="C45" s="4"/>
      <c r="D45" s="4"/>
      <c r="E45" s="4"/>
      <c r="F45" s="4"/>
      <c r="G45" s="4"/>
      <c r="H45" s="4"/>
      <c r="I45" s="21" t="str">
        <f aca="false">IF(OR(D45="",D45=0),"",F45/D45)</f>
        <v/>
      </c>
      <c r="J45" s="4"/>
      <c r="K45" s="4"/>
      <c r="L45" s="4"/>
    </row>
    <row r="46" customFormat="false" ht="15" hidden="false" customHeight="false" outlineLevel="0" collapsed="false">
      <c r="A46" s="18"/>
      <c r="B46" s="4"/>
      <c r="C46" s="4"/>
      <c r="D46" s="4"/>
      <c r="E46" s="4"/>
      <c r="F46" s="4"/>
      <c r="G46" s="4"/>
      <c r="H46" s="4"/>
      <c r="I46" s="21" t="str">
        <f aca="false">IF(OR(D46="",D46=0),"",F46/D46)</f>
        <v/>
      </c>
      <c r="J46" s="4"/>
      <c r="K46" s="4"/>
      <c r="L46" s="4"/>
    </row>
    <row r="47" customFormat="false" ht="15" hidden="false" customHeight="false" outlineLevel="0" collapsed="false">
      <c r="A47" s="18"/>
      <c r="B47" s="4"/>
      <c r="C47" s="4"/>
      <c r="D47" s="4"/>
      <c r="E47" s="4"/>
      <c r="F47" s="4"/>
      <c r="G47" s="4"/>
      <c r="H47" s="4"/>
      <c r="I47" s="21" t="str">
        <f aca="false">IF(OR(D47="",D47=0),"",F47/D47)</f>
        <v/>
      </c>
      <c r="J47" s="4"/>
      <c r="K47" s="4"/>
      <c r="L47" s="4"/>
    </row>
    <row r="48" customFormat="false" ht="15" hidden="false" customHeight="false" outlineLevel="0" collapsed="false">
      <c r="A48" s="18"/>
      <c r="B48" s="4"/>
      <c r="C48" s="4"/>
      <c r="D48" s="4"/>
      <c r="E48" s="4"/>
      <c r="F48" s="4"/>
      <c r="G48" s="4"/>
      <c r="H48" s="4"/>
      <c r="I48" s="21" t="str">
        <f aca="false">IF(OR(D48="",D48=0),"",F48/D48)</f>
        <v/>
      </c>
      <c r="J48" s="4"/>
      <c r="K48" s="4"/>
      <c r="L48" s="4"/>
    </row>
    <row r="49" customFormat="false" ht="15" hidden="false" customHeight="false" outlineLevel="0" collapsed="false">
      <c r="A49" s="18"/>
      <c r="B49" s="4"/>
      <c r="C49" s="4"/>
      <c r="D49" s="4"/>
      <c r="E49" s="4"/>
      <c r="F49" s="4"/>
      <c r="G49" s="4"/>
      <c r="H49" s="4"/>
      <c r="I49" s="21" t="str">
        <f aca="false">IF(OR(D49="",D49=0),"",F49/D49)</f>
        <v/>
      </c>
      <c r="J49" s="4"/>
      <c r="K49" s="4"/>
      <c r="L49" s="4"/>
    </row>
    <row r="50" customFormat="false" ht="15" hidden="false" customHeight="false" outlineLevel="0" collapsed="false">
      <c r="A50" s="18"/>
      <c r="B50" s="4"/>
      <c r="C50" s="4"/>
      <c r="D50" s="4"/>
      <c r="E50" s="4"/>
      <c r="F50" s="4"/>
      <c r="G50" s="4"/>
      <c r="H50" s="4"/>
      <c r="I50" s="21" t="str">
        <f aca="false">IF(OR(D50="",D50=0),"",F50/D50)</f>
        <v/>
      </c>
      <c r="J50" s="4"/>
      <c r="K50" s="4"/>
      <c r="L50" s="4"/>
    </row>
    <row r="51" customFormat="false" ht="15" hidden="false" customHeight="false" outlineLevel="0" collapsed="false">
      <c r="A51" s="18"/>
      <c r="B51" s="4"/>
      <c r="C51" s="4"/>
      <c r="D51" s="4"/>
      <c r="E51" s="4"/>
      <c r="F51" s="4"/>
      <c r="G51" s="4"/>
      <c r="H51" s="4"/>
      <c r="I51" s="21" t="str">
        <f aca="false">IF(OR(D51="",D51=0),"",F51/D51)</f>
        <v/>
      </c>
      <c r="J51" s="4"/>
      <c r="K51" s="4"/>
      <c r="L51" s="4"/>
    </row>
    <row r="52" customFormat="false" ht="15" hidden="false" customHeight="false" outlineLevel="0" collapsed="false">
      <c r="A52" s="18"/>
      <c r="B52" s="4"/>
      <c r="C52" s="4"/>
      <c r="D52" s="4"/>
      <c r="E52" s="4"/>
      <c r="F52" s="4"/>
      <c r="G52" s="4"/>
      <c r="H52" s="4"/>
      <c r="I52" s="21" t="str">
        <f aca="false">IF(OR(D52="",D52=0),"",F52/D52)</f>
        <v/>
      </c>
      <c r="J52" s="4"/>
      <c r="K52" s="4"/>
      <c r="L52" s="4"/>
    </row>
    <row r="53" customFormat="false" ht="15" hidden="false" customHeight="false" outlineLevel="0" collapsed="false">
      <c r="A53" s="18"/>
      <c r="B53" s="4"/>
      <c r="C53" s="4"/>
      <c r="D53" s="4"/>
      <c r="E53" s="4"/>
      <c r="F53" s="4"/>
      <c r="G53" s="4"/>
      <c r="H53" s="4"/>
      <c r="I53" s="21" t="str">
        <f aca="false">IF(OR(D53="",D53=0),"",F53/D53)</f>
        <v/>
      </c>
      <c r="J53" s="4"/>
      <c r="K53" s="4"/>
      <c r="L53" s="4"/>
    </row>
    <row r="54" customFormat="false" ht="15" hidden="false" customHeight="false" outlineLevel="0" collapsed="false">
      <c r="A54" s="18"/>
      <c r="B54" s="4"/>
      <c r="C54" s="4"/>
      <c r="D54" s="4"/>
      <c r="E54" s="4"/>
      <c r="F54" s="4"/>
      <c r="G54" s="4"/>
      <c r="H54" s="4"/>
      <c r="I54" s="21" t="str">
        <f aca="false">IF(OR(D54="",D54=0),"",F54/D54)</f>
        <v/>
      </c>
      <c r="J54" s="4"/>
      <c r="K54" s="4"/>
      <c r="L54" s="4"/>
    </row>
    <row r="55" customFormat="false" ht="15" hidden="false" customHeight="false" outlineLevel="0" collapsed="false">
      <c r="A55" s="18"/>
      <c r="B55" s="4"/>
      <c r="C55" s="4"/>
      <c r="D55" s="4"/>
      <c r="E55" s="4"/>
      <c r="F55" s="4"/>
      <c r="G55" s="4"/>
      <c r="H55" s="4"/>
      <c r="I55" s="21" t="str">
        <f aca="false">IF(OR(D55="",D55=0),"",F55/D55)</f>
        <v/>
      </c>
      <c r="J55" s="4"/>
      <c r="K55" s="4"/>
      <c r="L55" s="4"/>
    </row>
    <row r="56" customFormat="false" ht="15" hidden="false" customHeight="false" outlineLevel="0" collapsed="false">
      <c r="A56" s="18"/>
      <c r="B56" s="4"/>
      <c r="C56" s="4"/>
      <c r="D56" s="4"/>
      <c r="E56" s="4"/>
      <c r="F56" s="4"/>
      <c r="G56" s="4"/>
      <c r="H56" s="4"/>
      <c r="I56" s="21" t="str">
        <f aca="false">IF(OR(D56="",D56=0),"",F56/D56)</f>
        <v/>
      </c>
      <c r="J56" s="4"/>
      <c r="K56" s="4"/>
      <c r="L56" s="4"/>
    </row>
    <row r="57" customFormat="false" ht="15" hidden="false" customHeight="false" outlineLevel="0" collapsed="false">
      <c r="A57" s="18"/>
      <c r="B57" s="4"/>
      <c r="C57" s="4"/>
      <c r="D57" s="4"/>
      <c r="E57" s="4"/>
      <c r="F57" s="4"/>
      <c r="G57" s="4"/>
      <c r="H57" s="4"/>
      <c r="I57" s="21" t="str">
        <f aca="false">IF(OR(D57="",D57=0),"",F57/D57)</f>
        <v/>
      </c>
      <c r="J57" s="4"/>
      <c r="K57" s="4"/>
      <c r="L57" s="4"/>
    </row>
    <row r="58" customFormat="false" ht="15" hidden="false" customHeight="false" outlineLevel="0" collapsed="false">
      <c r="A58" s="18"/>
      <c r="B58" s="4"/>
      <c r="C58" s="4"/>
      <c r="D58" s="4"/>
      <c r="E58" s="4"/>
      <c r="F58" s="4"/>
      <c r="G58" s="4"/>
      <c r="H58" s="4"/>
      <c r="I58" s="21" t="str">
        <f aca="false">IF(OR(D58="",D58=0),"",F58/D58)</f>
        <v/>
      </c>
      <c r="J58" s="4"/>
      <c r="K58" s="4"/>
      <c r="L58" s="4"/>
    </row>
    <row r="59" customFormat="false" ht="15" hidden="false" customHeight="false" outlineLevel="0" collapsed="false">
      <c r="A59" s="18"/>
      <c r="B59" s="4"/>
      <c r="C59" s="4"/>
      <c r="D59" s="4"/>
      <c r="E59" s="4"/>
      <c r="F59" s="4"/>
      <c r="G59" s="4"/>
      <c r="H59" s="4"/>
      <c r="I59" s="21" t="str">
        <f aca="false">IF(OR(D59="",D59=0),"",F59/D59)</f>
        <v/>
      </c>
      <c r="J59" s="4"/>
      <c r="K59" s="4"/>
      <c r="L59" s="4"/>
    </row>
    <row r="60" customFormat="false" ht="15" hidden="false" customHeight="false" outlineLevel="0" collapsed="false">
      <c r="A60" s="18"/>
      <c r="B60" s="4"/>
      <c r="C60" s="4"/>
      <c r="D60" s="4"/>
      <c r="E60" s="4"/>
      <c r="F60" s="4"/>
      <c r="G60" s="4"/>
      <c r="H60" s="4"/>
      <c r="I60" s="21" t="str">
        <f aca="false">IF(OR(D60="",D60=0),"",F60/D60)</f>
        <v/>
      </c>
      <c r="J60" s="4"/>
      <c r="K60" s="4"/>
      <c r="L60" s="4"/>
    </row>
    <row r="61" customFormat="false" ht="15" hidden="false" customHeight="false" outlineLevel="0" collapsed="false">
      <c r="A61" s="18"/>
      <c r="B61" s="4"/>
      <c r="C61" s="4"/>
      <c r="D61" s="4"/>
      <c r="E61" s="4"/>
      <c r="F61" s="4"/>
      <c r="G61" s="4"/>
      <c r="H61" s="4"/>
      <c r="I61" s="21" t="str">
        <f aca="false">IF(OR(D61="",D61=0),"",F61/D61)</f>
        <v/>
      </c>
      <c r="J61" s="4"/>
      <c r="K61" s="4"/>
      <c r="L61" s="4"/>
    </row>
    <row r="62" customFormat="false" ht="15" hidden="false" customHeight="false" outlineLevel="0" collapsed="false">
      <c r="A62" s="18"/>
      <c r="B62" s="4"/>
      <c r="C62" s="4"/>
      <c r="D62" s="4"/>
      <c r="E62" s="4"/>
      <c r="F62" s="4"/>
      <c r="G62" s="4"/>
      <c r="H62" s="4"/>
      <c r="I62" s="21" t="str">
        <f aca="false">IF(OR(D62="",D62=0),"",F62/D62)</f>
        <v/>
      </c>
      <c r="J62" s="4"/>
      <c r="K62" s="4"/>
      <c r="L62" s="4"/>
    </row>
    <row r="63" customFormat="false" ht="15" hidden="false" customHeight="false" outlineLevel="0" collapsed="false">
      <c r="A63" s="18"/>
      <c r="B63" s="4"/>
      <c r="C63" s="4"/>
      <c r="D63" s="4"/>
      <c r="E63" s="4"/>
      <c r="F63" s="4"/>
      <c r="G63" s="4"/>
      <c r="H63" s="4"/>
      <c r="I63" s="21" t="str">
        <f aca="false">IF(OR(D63="",D63=0),"",F63/D63)</f>
        <v/>
      </c>
      <c r="J63" s="4"/>
      <c r="K63" s="4"/>
      <c r="L63" s="4"/>
    </row>
  </sheetData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4" min="4" style="0" width="80"/>
  </cols>
  <sheetData>
    <row r="1" customFormat="false" ht="19.7" hidden="false" customHeight="false" outlineLevel="0" collapsed="false">
      <c r="A1" s="1" t="s">
        <v>713</v>
      </c>
    </row>
    <row r="2" customFormat="false" ht="15" hidden="false" customHeight="false" outlineLevel="0" collapsed="false">
      <c r="A2" s="2" t="s">
        <v>714</v>
      </c>
    </row>
    <row r="3" customFormat="false" ht="30" hidden="false" customHeight="true" outlineLevel="0" collapsed="false">
      <c r="A3" s="7" t="s">
        <v>715</v>
      </c>
      <c r="B3" s="7" t="s">
        <v>455</v>
      </c>
      <c r="C3" s="7" t="s">
        <v>716</v>
      </c>
      <c r="D3" s="7" t="s">
        <v>717</v>
      </c>
    </row>
    <row r="4" customFormat="false" ht="15" hidden="false" customHeight="false" outlineLevel="0" collapsed="false">
      <c r="A4" s="48" t="s">
        <v>151</v>
      </c>
      <c r="B4" s="23" t="s">
        <v>460</v>
      </c>
      <c r="C4" s="4" t="s">
        <v>718</v>
      </c>
      <c r="D4" s="49" t="s">
        <v>719</v>
      </c>
    </row>
    <row r="5" customFormat="false" ht="33.75" hidden="false" customHeight="true" outlineLevel="0" collapsed="false">
      <c r="A5" s="48" t="s">
        <v>188</v>
      </c>
      <c r="B5" s="23" t="s">
        <v>460</v>
      </c>
      <c r="C5" s="4" t="s">
        <v>720</v>
      </c>
      <c r="D5" s="49" t="s">
        <v>721</v>
      </c>
    </row>
    <row r="6" customFormat="false" ht="15" hidden="false" customHeight="false" outlineLevel="0" collapsed="false">
      <c r="A6" s="48" t="s">
        <v>516</v>
      </c>
      <c r="B6" s="23" t="s">
        <v>460</v>
      </c>
      <c r="C6" s="4" t="s">
        <v>722</v>
      </c>
      <c r="D6" s="49" t="s">
        <v>723</v>
      </c>
    </row>
    <row r="7" customFormat="false" ht="15" hidden="false" customHeight="false" outlineLevel="0" collapsed="false">
      <c r="A7" s="48" t="s">
        <v>351</v>
      </c>
      <c r="B7" s="23" t="s">
        <v>460</v>
      </c>
      <c r="C7" s="4" t="s">
        <v>724</v>
      </c>
      <c r="D7" s="49" t="s">
        <v>725</v>
      </c>
    </row>
    <row r="8" customFormat="false" ht="33.75" hidden="false" customHeight="true" outlineLevel="0" collapsed="false">
      <c r="A8" s="48" t="s">
        <v>371</v>
      </c>
      <c r="B8" s="23" t="s">
        <v>460</v>
      </c>
      <c r="C8" s="4" t="s">
        <v>726</v>
      </c>
      <c r="D8" s="49" t="s">
        <v>727</v>
      </c>
    </row>
    <row r="9" customFormat="false" ht="15" hidden="false" customHeight="false" outlineLevel="0" collapsed="false">
      <c r="A9" s="48" t="s">
        <v>728</v>
      </c>
      <c r="B9" s="23" t="s">
        <v>460</v>
      </c>
      <c r="C9" s="4" t="s">
        <v>729</v>
      </c>
      <c r="D9" s="49" t="s">
        <v>730</v>
      </c>
    </row>
    <row r="10" customFormat="false" ht="15" hidden="false" customHeight="false" outlineLevel="0" collapsed="false">
      <c r="A10" s="48" t="s">
        <v>542</v>
      </c>
      <c r="B10" s="23" t="s">
        <v>460</v>
      </c>
      <c r="C10" s="4" t="s">
        <v>731</v>
      </c>
      <c r="D10" s="49" t="s">
        <v>732</v>
      </c>
    </row>
    <row r="11" customFormat="false" ht="15" hidden="false" customHeight="false" outlineLevel="0" collapsed="false">
      <c r="A11" s="48" t="s">
        <v>180</v>
      </c>
      <c r="B11" s="23" t="s">
        <v>460</v>
      </c>
      <c r="C11" s="4" t="s">
        <v>733</v>
      </c>
      <c r="D11" s="49" t="s">
        <v>734</v>
      </c>
    </row>
    <row r="12" customFormat="false" ht="15" hidden="false" customHeight="false" outlineLevel="0" collapsed="false">
      <c r="A12" s="48" t="s">
        <v>466</v>
      </c>
      <c r="B12" s="23" t="s">
        <v>460</v>
      </c>
      <c r="C12" s="4" t="s">
        <v>735</v>
      </c>
      <c r="D12" s="49" t="s">
        <v>736</v>
      </c>
    </row>
    <row r="13" customFormat="false" ht="33.75" hidden="false" customHeight="true" outlineLevel="0" collapsed="false">
      <c r="A13" s="48" t="s">
        <v>492</v>
      </c>
      <c r="B13" s="23" t="s">
        <v>460</v>
      </c>
      <c r="C13" s="4" t="s">
        <v>737</v>
      </c>
      <c r="D13" s="49" t="s">
        <v>738</v>
      </c>
    </row>
    <row r="14" customFormat="false" ht="15" hidden="false" customHeight="false" outlineLevel="0" collapsed="false">
      <c r="A14" s="48" t="s">
        <v>551</v>
      </c>
      <c r="B14" s="23" t="s">
        <v>460</v>
      </c>
      <c r="C14" s="4" t="s">
        <v>739</v>
      </c>
      <c r="D14" s="49" t="s">
        <v>740</v>
      </c>
    </row>
    <row r="15" customFormat="false" ht="33.75" hidden="false" customHeight="true" outlineLevel="0" collapsed="false">
      <c r="A15" s="48" t="s">
        <v>357</v>
      </c>
      <c r="B15" s="23" t="s">
        <v>741</v>
      </c>
      <c r="C15" s="10" t="s">
        <v>742</v>
      </c>
      <c r="D15" s="49" t="s">
        <v>743</v>
      </c>
    </row>
    <row r="16" customFormat="false" ht="33.75" hidden="false" customHeight="true" outlineLevel="0" collapsed="false">
      <c r="A16" s="48" t="s">
        <v>204</v>
      </c>
      <c r="B16" s="23" t="s">
        <v>741</v>
      </c>
      <c r="C16" s="10" t="s">
        <v>744</v>
      </c>
      <c r="D16" s="49" t="s">
        <v>745</v>
      </c>
    </row>
    <row r="17" customFormat="false" ht="33.75" hidden="false" customHeight="true" outlineLevel="0" collapsed="false">
      <c r="A17" s="48" t="s">
        <v>322</v>
      </c>
      <c r="B17" s="23" t="s">
        <v>741</v>
      </c>
      <c r="C17" s="10" t="s">
        <v>746</v>
      </c>
      <c r="D17" s="49" t="s">
        <v>747</v>
      </c>
    </row>
    <row r="18" customFormat="false" ht="33.75" hidden="false" customHeight="true" outlineLevel="0" collapsed="false">
      <c r="A18" s="48" t="s">
        <v>296</v>
      </c>
      <c r="B18" s="23" t="s">
        <v>748</v>
      </c>
      <c r="C18" s="10" t="s">
        <v>749</v>
      </c>
      <c r="D18" s="49" t="s">
        <v>750</v>
      </c>
    </row>
    <row r="19" customFormat="false" ht="33.75" hidden="false" customHeight="true" outlineLevel="0" collapsed="false">
      <c r="A19" s="48" t="s">
        <v>484</v>
      </c>
      <c r="B19" s="23" t="s">
        <v>470</v>
      </c>
      <c r="C19" s="10" t="s">
        <v>751</v>
      </c>
      <c r="D19" s="49" t="s">
        <v>752</v>
      </c>
    </row>
    <row r="20" customFormat="false" ht="48.75" hidden="false" customHeight="true" outlineLevel="0" collapsed="false">
      <c r="A20" s="48" t="s">
        <v>240</v>
      </c>
      <c r="B20" s="23" t="s">
        <v>753</v>
      </c>
      <c r="C20" s="10" t="s">
        <v>754</v>
      </c>
      <c r="D20" s="49" t="s">
        <v>755</v>
      </c>
    </row>
    <row r="21" customFormat="false" ht="33.75" hidden="false" customHeight="true" outlineLevel="0" collapsed="false">
      <c r="A21" s="48" t="s">
        <v>416</v>
      </c>
      <c r="B21" s="23" t="s">
        <v>756</v>
      </c>
      <c r="C21" s="10" t="s">
        <v>757</v>
      </c>
      <c r="D21" s="49" t="s">
        <v>758</v>
      </c>
    </row>
    <row r="22" customFormat="false" ht="33.75" hidden="false" customHeight="true" outlineLevel="0" collapsed="false">
      <c r="A22" s="48" t="s">
        <v>425</v>
      </c>
      <c r="B22" s="23" t="s">
        <v>741</v>
      </c>
      <c r="C22" s="10" t="s">
        <v>759</v>
      </c>
      <c r="D22" s="49" t="s">
        <v>760</v>
      </c>
    </row>
    <row r="23" customFormat="false" ht="15" hidden="false" customHeight="false" outlineLevel="0" collapsed="false">
      <c r="A23" s="48" t="s">
        <v>557</v>
      </c>
      <c r="B23" s="23" t="s">
        <v>741</v>
      </c>
      <c r="C23" s="10" t="s">
        <v>761</v>
      </c>
      <c r="D23" s="49" t="s">
        <v>762</v>
      </c>
    </row>
    <row r="24" customFormat="false" ht="15" hidden="false" customHeight="false" outlineLevel="0" collapsed="false">
      <c r="A24" s="48" t="s">
        <v>763</v>
      </c>
      <c r="B24" s="23" t="s">
        <v>756</v>
      </c>
      <c r="C24" s="10" t="s">
        <v>764</v>
      </c>
      <c r="D24" s="49" t="s">
        <v>765</v>
      </c>
    </row>
    <row r="25" customFormat="false" ht="15" hidden="false" customHeight="false" outlineLevel="0" collapsed="false">
      <c r="A25" s="48" t="s">
        <v>766</v>
      </c>
      <c r="B25" s="23" t="s">
        <v>460</v>
      </c>
      <c r="C25" s="4" t="s">
        <v>767</v>
      </c>
      <c r="D25" s="49" t="s">
        <v>768</v>
      </c>
    </row>
  </sheetData>
  <hyperlinks>
    <hyperlink ref="D4" r:id="rId1" display="https://book.tndais.gov.tw/Brochure/tech96.htm"/>
    <hyperlink ref="D5" r:id="rId2" display="https://gazette.nat.gov.tw/EG_FileManager/eguploadpub/eg027026/ch07/type3/gov62/num67/images/BB.pdf"/>
    <hyperlink ref="D6" r:id="rId3" display="https://www.moa.gov.tw/ws.php?id=19487"/>
    <hyperlink ref="D7" r:id="rId4" display="https://kmweb.moa.gov.tw/knowledgebase.php?func=1&amp;type=12815&amp;id=423553"/>
    <hyperlink ref="D8" r:id="rId5" display="https://www.tcdares.gov.tw/files/tdais/web_structure/13097/A01_1.pdf"/>
    <hyperlink ref="D9" r:id="rId6" display="https://book.tndais.gov.tw/Magazine/mag100/100-4.pdf"/>
    <hyperlink ref="D10" r:id="rId7" display="https://book.tndais.gov.tw/Magazine/mag35-1.htm"/>
    <hyperlink ref="D11" r:id="rId8" display="https://kmweb.moa.gov.tw/redirect_files.php?theme=knowledgebase&amp;id=456949"/>
    <hyperlink ref="D12" r:id="rId9" display="https://www.agriharvest.tw/archives/112232/"/>
    <hyperlink ref="D13" r:id="rId10" display="https://kmweb.moa.gov.tw/theme_data.php?theme=news&amp;sub_theme=variety&amp;id=55647"/>
    <hyperlink ref="D14" r:id="rId11" display="https://www.moa.gov.tw/ws.php?id=2506847"/>
    <hyperlink ref="D15" r:id="rId12" display="https://www.aces.edu/blog/topics/crop-production/greenhouse-tomato-production/"/>
    <hyperlink ref="D16" r:id="rId13" display="https://nevegetable.org/crops/tomato-greenhouse-and-high-tunnel"/>
    <hyperlink ref="D17" r:id="rId14" display="https://www.greenhousegrower.com/production/your-guide-to-high-wire-tomato-growing/"/>
    <hyperlink ref="D18" r:id="rId15" display="https://ageoncropconsulting.com/crop-registration-undestanding-the-tomato-crop/"/>
    <hyperlink ref="D19" r:id="rId16" display="https://www.ars.usda.gov/ARSUserFiles/20200500/Pubs%202018/Shamshiri2018%20-%20review%20optimum%20microclimate%20greenhouse.pdf"/>
    <hyperlink ref="D20" r:id="rId17" display="https://www.vegetables.bayer.com/us/en-us/resources/growing-tips-and-innovation-articles/cultivation-insights/temperature-humidity-and-water-in-protected-culture-tomatoes.html"/>
    <hyperlink ref="D21" r:id="rId18" display="https://www.koppert.com/news-information/knowledge-documents/pollination-checklist-tomato/"/>
    <hyperlink ref="D22" r:id="rId19" display="https://plant-pest-advisory.rutgers.edu/pest-counts-action-thresholds-in-the-greenhouse/"/>
    <hyperlink ref="D23" r:id="rId20" display="https://postharvest.ucdavis.edu/produce-facts-sheets/tomato"/>
    <hyperlink ref="D24" r:id="rId21" display="https://www.koppert.com/knowledge/a-step-by-step-guide-to-whitefly-control/"/>
    <hyperlink ref="D25" r:id="rId22" display="https://pesticide.aphia.gov.tw/information/Query/Bug"/>
  </hyperlink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2026-09-16T02:44:17Z</dcterms:created>
  <dc:creator>openpyxl</dc:creator>
  <dc:description/>
  <dc:language>en-US</dc:language>
  <cp:lastModifiedBy/>
  <dcterms:modified xsi:type="dcterms:W3CDTF">2026-09-16T02:44:17Z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